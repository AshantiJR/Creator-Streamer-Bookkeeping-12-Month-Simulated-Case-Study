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onthly P&amp;L" sheetId="2" r:id="rId6"/>
    <sheet state="visible" name="Transactions" sheetId="3" r:id="rId7"/>
    <sheet state="visible" name="COA &amp; Category Map" sheetId="4" r:id="rId8"/>
    <sheet state="visible" name="Project Notes" sheetId="5" r:id="rId9"/>
    <sheet state="visible" name="Bank Reconciliation" sheetId="6" r:id="rId10"/>
  </sheets>
  <definedNames/>
  <calcPr/>
</workbook>
</file>

<file path=xl/sharedStrings.xml><?xml version="1.0" encoding="utf-8"?>
<sst xmlns="http://schemas.openxmlformats.org/spreadsheetml/2006/main" count="1708" uniqueCount="368">
  <si>
    <t>Monthly Profit &amp; Loss</t>
  </si>
  <si>
    <t>Q1 Total</t>
  </si>
  <si>
    <t>Revenue</t>
  </si>
  <si>
    <t>Subscriptions</t>
  </si>
  <si>
    <t>Transaction ID</t>
  </si>
  <si>
    <t>Date</t>
  </si>
  <si>
    <t>Month</t>
  </si>
  <si>
    <t>Description</t>
  </si>
  <si>
    <t>Account</t>
  </si>
  <si>
    <t>Type</t>
  </si>
  <si>
    <t>Category</t>
  </si>
  <si>
    <t>Revenue Stream</t>
  </si>
  <si>
    <t>Merchant / Source</t>
  </si>
  <si>
    <t>Inflow</t>
  </si>
  <si>
    <t>Outflow</t>
  </si>
  <si>
    <t>Donations &amp; Tips</t>
  </si>
  <si>
    <t>Net Amount</t>
  </si>
  <si>
    <t>Reconciled</t>
  </si>
  <si>
    <t>Notes</t>
  </si>
  <si>
    <t>Duplicate Flag</t>
  </si>
  <si>
    <t>Quarter</t>
  </si>
  <si>
    <t>Mapped Category</t>
  </si>
  <si>
    <t>TX-1009</t>
  </si>
  <si>
    <t>Account Number</t>
  </si>
  <si>
    <t>Account Name</t>
  </si>
  <si>
    <t>Jan 2026</t>
  </si>
  <si>
    <t>Sponsorships</t>
  </si>
  <si>
    <t>Account Type</t>
  </si>
  <si>
    <t>Adobe Creative Cloud</t>
  </si>
  <si>
    <t>Credit Card</t>
  </si>
  <si>
    <t>Normal Balance</t>
  </si>
  <si>
    <t>Expense</t>
  </si>
  <si>
    <t>Software Subscriptions</t>
  </si>
  <si>
    <t>Ledger Field</t>
  </si>
  <si>
    <t>Matching Label</t>
  </si>
  <si>
    <t>Transaction Count</t>
  </si>
  <si>
    <t>Number of Accounts</t>
  </si>
  <si>
    <t>Yes</t>
  </si>
  <si>
    <t>Twitch Payout</t>
  </si>
  <si>
    <t>Merchandise</t>
  </si>
  <si>
    <t>Checking</t>
  </si>
  <si>
    <t>Asset</t>
  </si>
  <si>
    <t>Debit</t>
  </si>
  <si>
    <t>Affiliate Revenue</t>
  </si>
  <si>
    <t>TX-1001</t>
  </si>
  <si>
    <t>Twitch monthly payout</t>
  </si>
  <si>
    <t>Twitch</t>
  </si>
  <si>
    <t>Ad Revenue</t>
  </si>
  <si>
    <t>Pixel &amp; Pastry Media | 2026 Bookkeeping Dashboard</t>
  </si>
  <si>
    <t>Prepared by Blackthorn Ledger • Simulated portfolio case study • January–December 2026</t>
  </si>
  <si>
    <t>TX-1007</t>
  </si>
  <si>
    <t>Total Revenue</t>
  </si>
  <si>
    <t>Twitch platform service fees</t>
  </si>
  <si>
    <t>Platform Fees</t>
  </si>
  <si>
    <t>Total Expenses</t>
  </si>
  <si>
    <t>Net Income</t>
  </si>
  <si>
    <t>Profit Margin</t>
  </si>
  <si>
    <t>TX-1002</t>
  </si>
  <si>
    <t>Expenses</t>
  </si>
  <si>
    <t>Streamlabs creator tips</t>
  </si>
  <si>
    <t>PayPal</t>
  </si>
  <si>
    <t>Streamlabs</t>
  </si>
  <si>
    <t>Donations</t>
  </si>
  <si>
    <t>TX-1010</t>
  </si>
  <si>
    <t>StreamYard subscription</t>
  </si>
  <si>
    <t>Payment Processing</t>
  </si>
  <si>
    <t>Contra Asset</t>
  </si>
  <si>
    <t>TX-1003</t>
  </si>
  <si>
    <t>Sponsored stream campaign</t>
  </si>
  <si>
    <t>Brand Partnership</t>
  </si>
  <si>
    <t>Equipment</t>
  </si>
  <si>
    <t>Brand Partner</t>
  </si>
  <si>
    <t>Accounts Receivable</t>
  </si>
  <si>
    <t>Content &amp; Games</t>
  </si>
  <si>
    <t>TX-1011</t>
  </si>
  <si>
    <t>Liability</t>
  </si>
  <si>
    <t>Canva Pro subscription</t>
  </si>
  <si>
    <t>Internet</t>
  </si>
  <si>
    <t>Shopify</t>
  </si>
  <si>
    <t>Advertising</t>
  </si>
  <si>
    <t>TX-1012</t>
  </si>
  <si>
    <t>Streaming camera and light kit</t>
  </si>
  <si>
    <t>Equipment - Capital Assets</t>
  </si>
  <si>
    <t>Contractor Services</t>
  </si>
  <si>
    <t>Capital purchase documented</t>
  </si>
  <si>
    <t>TX-1004</t>
  </si>
  <si>
    <t>Equity</t>
  </si>
  <si>
    <t>Shopify merchandise settlement</t>
  </si>
  <si>
    <t>Online Store</t>
  </si>
  <si>
    <t>Shipping &amp; Postage</t>
  </si>
  <si>
    <t>Amazon Associates</t>
  </si>
  <si>
    <t>Accumulated Depreciation</t>
  </si>
  <si>
    <t>TX-1008</t>
  </si>
  <si>
    <t>Office Supplies</t>
  </si>
  <si>
    <t>Credit</t>
  </si>
  <si>
    <t>Stripe processing fees</t>
  </si>
  <si>
    <t>TX-1005</t>
  </si>
  <si>
    <t>Amazon affiliate payout</t>
  </si>
  <si>
    <t>Annual Total</t>
  </si>
  <si>
    <t>YouTube</t>
  </si>
  <si>
    <t>Affiliate</t>
  </si>
  <si>
    <t>Credit Card Payable</t>
  </si>
  <si>
    <t>Annual Revenue</t>
  </si>
  <si>
    <t>Mix</t>
  </si>
  <si>
    <t>TX-1013</t>
  </si>
  <si>
    <t>Games and stream content</t>
  </si>
  <si>
    <t>Q2 Total</t>
  </si>
  <si>
    <t>TX-1014</t>
  </si>
  <si>
    <t>Business internet allocation</t>
  </si>
  <si>
    <t>Twitch Fee</t>
  </si>
  <si>
    <t>Business-use portion</t>
  </si>
  <si>
    <t>TX-1006</t>
  </si>
  <si>
    <t>Accounts Payable</t>
  </si>
  <si>
    <t>Total</t>
  </si>
  <si>
    <t>YouTube advertising payout</t>
  </si>
  <si>
    <t>Audit Check</t>
  </si>
  <si>
    <t>Ledger</t>
  </si>
  <si>
    <t>Report</t>
  </si>
  <si>
    <t>Difference</t>
  </si>
  <si>
    <t>Status</t>
  </si>
  <si>
    <t>Revenue tie-out</t>
  </si>
  <si>
    <t>TX-1015</t>
  </si>
  <si>
    <t>Social media campaign</t>
  </si>
  <si>
    <t>TX-1016</t>
  </si>
  <si>
    <t>Stripe Fee</t>
  </si>
  <si>
    <t>Freelance video editing</t>
  </si>
  <si>
    <t>Sales Tax Payable</t>
  </si>
  <si>
    <t>TX-1017</t>
  </si>
  <si>
    <t>Merchandise shipping labels</t>
  </si>
  <si>
    <t>Expense tie-out</t>
  </si>
  <si>
    <t>PASS</t>
  </si>
  <si>
    <t>Net income tie-out</t>
  </si>
  <si>
    <t>Uncategorized transactions</t>
  </si>
  <si>
    <t>Duplicate transaction IDs</t>
  </si>
  <si>
    <t>TX-1018</t>
  </si>
  <si>
    <t>Packaging and printer supplies</t>
  </si>
  <si>
    <t>Adobe</t>
  </si>
  <si>
    <t>Owner Contribution</t>
  </si>
  <si>
    <t>TX-1027</t>
  </si>
  <si>
    <t>Feb 2026</t>
  </si>
  <si>
    <t>TX-1019</t>
  </si>
  <si>
    <t>StreamYard</t>
  </si>
  <si>
    <t>Owner Draw</t>
  </si>
  <si>
    <t>TX-1025</t>
  </si>
  <si>
    <t>TX-1020</t>
  </si>
  <si>
    <t>Canva</t>
  </si>
  <si>
    <t>Retained Earnings</t>
  </si>
  <si>
    <t>TX-1028</t>
  </si>
  <si>
    <t>Best Buy</t>
  </si>
  <si>
    <t>TX-1021</t>
  </si>
  <si>
    <t>TX-1029</t>
  </si>
  <si>
    <t>Steam</t>
  </si>
  <si>
    <t>TX-1022</t>
  </si>
  <si>
    <t>Comcast</t>
  </si>
  <si>
    <t>TX-1026</t>
  </si>
  <si>
    <t>TX-1023</t>
  </si>
  <si>
    <t>Meta Ads</t>
  </si>
  <si>
    <t>TX-1030</t>
  </si>
  <si>
    <t>Q3 Total</t>
  </si>
  <si>
    <t>TX-1031</t>
  </si>
  <si>
    <t>Video Editor</t>
  </si>
  <si>
    <t>TX-1024</t>
  </si>
  <si>
    <t>USPS</t>
  </si>
  <si>
    <t>TX-1032</t>
  </si>
  <si>
    <t>Office Depot</t>
  </si>
  <si>
    <t>TX-1033</t>
  </si>
  <si>
    <t>TX-1034</t>
  </si>
  <si>
    <t>TX-1035</t>
  </si>
  <si>
    <t>TX-1044</t>
  </si>
  <si>
    <t>Mar 2026</t>
  </si>
  <si>
    <t>TX-1036</t>
  </si>
  <si>
    <t>TX-1042</t>
  </si>
  <si>
    <t>TX-1037</t>
  </si>
  <si>
    <t>TX-1045</t>
  </si>
  <si>
    <t>TX-1038</t>
  </si>
  <si>
    <t>TX-1046</t>
  </si>
  <si>
    <t>TX-1047</t>
  </si>
  <si>
    <t>Audio mixer and monitor</t>
  </si>
  <si>
    <t>TX-1039</t>
  </si>
  <si>
    <t>TX-1043</t>
  </si>
  <si>
    <t>TX-1040</t>
  </si>
  <si>
    <t>Q4 Total</t>
  </si>
  <si>
    <t>Equipment Expense</t>
  </si>
  <si>
    <t>TX-1048</t>
  </si>
  <si>
    <t>TX-1049</t>
  </si>
  <si>
    <t>Depreciation Expense</t>
  </si>
  <si>
    <t>Creator Bookkeeping Portfolio Case Study</t>
  </si>
  <si>
    <t>TX-1041</t>
  </si>
  <si>
    <t>Client</t>
  </si>
  <si>
    <t>Pixel &amp; Pastry Media (fictional creator business)</t>
  </si>
  <si>
    <t>Prepared by</t>
  </si>
  <si>
    <t>Blackthorn Ledger</t>
  </si>
  <si>
    <t>Period</t>
  </si>
  <si>
    <t>January–December 2026</t>
  </si>
  <si>
    <t>Challenge</t>
  </si>
  <si>
    <t>Income arrived through six channels while expenses crossed bank, card, PayPal, and platform accounts.</t>
  </si>
  <si>
    <t>Work completed</t>
  </si>
  <si>
    <t>Travel &amp; Events</t>
  </si>
  <si>
    <t>Standardized and categorized 174 transactions, developed a 29-account Chart of Accounts, reconciled annual source totals, produced quarterly and annual profit-and-loss reporting, and created an automated management dashboard.</t>
  </si>
  <si>
    <t>Result</t>
  </si>
  <si>
    <t>Delivered a complete 12-month bookkeeping system with $77,602 in revenue, $16,650 in expenses, $60,952 in net income, revenue-mix analysis, automated audit checks, and repeatable monthly reporting.</t>
  </si>
  <si>
    <t>Disclosure</t>
  </si>
  <si>
    <t>All names, transactions, and financial results are simulated for portfolio demonstration purposes.</t>
  </si>
  <si>
    <t>TX-1050</t>
  </si>
  <si>
    <t>Resume-ready bullets</t>
  </si>
  <si>
    <t>• Built a Google Sheets bookkeeping system for a simulated creator business, organizing and categorizing 174 transactions across six revenue streams and ten expense categories.</t>
  </si>
  <si>
    <t>• Developed a 29-account Chart of Accounts, four quarterly profit-and-loss statements, and a full-year dashboard tracking revenue, expenses, net income, profit margin, and revenue mix.</t>
  </si>
  <si>
    <t>• Reconciled transaction-level inflows and outflows to annual reporting totals of $77,602 in revenue and $16,650 in expenses, with zero uncategorized or duplicate transactions.</t>
  </si>
  <si>
    <t>TX-1051</t>
  </si>
  <si>
    <t>TX-1052</t>
  </si>
  <si>
    <t>TX-1053</t>
  </si>
  <si>
    <t>TX-1054</t>
  </si>
  <si>
    <t>TX-1122</t>
  </si>
  <si>
    <t>Q2</t>
  </si>
  <si>
    <t>TX-1060</t>
  </si>
  <si>
    <t>TX-1055</t>
  </si>
  <si>
    <t>TX-1121</t>
  </si>
  <si>
    <t>TX-1056</t>
  </si>
  <si>
    <t>TX-1123</t>
  </si>
  <si>
    <t>TX-1057</t>
  </si>
  <si>
    <t>TX-1124</t>
  </si>
  <si>
    <t>TX-1058</t>
  </si>
  <si>
    <t>TX-1125</t>
  </si>
  <si>
    <t>Capture card and webcam</t>
  </si>
  <si>
    <t>TX-1126</t>
  </si>
  <si>
    <t>TX-1059</t>
  </si>
  <si>
    <t>TX-1127</t>
  </si>
  <si>
    <t>TX-1128</t>
  </si>
  <si>
    <t>Social media advertising</t>
  </si>
  <si>
    <t>TX-1129</t>
  </si>
  <si>
    <t>TX-1130</t>
  </si>
  <si>
    <t>TX-1131</t>
  </si>
  <si>
    <t>TX-1069</t>
  </si>
  <si>
    <t>TX-1061</t>
  </si>
  <si>
    <t>TX-1067</t>
  </si>
  <si>
    <t>TX-1062</t>
  </si>
  <si>
    <t>TX-1068</t>
  </si>
  <si>
    <t>TX-1063</t>
  </si>
  <si>
    <t>TX-1070</t>
  </si>
  <si>
    <t>TX-1064</t>
  </si>
  <si>
    <t>TX-1065</t>
  </si>
  <si>
    <t>TX-1071</t>
  </si>
  <si>
    <t>TX-1066</t>
  </si>
  <si>
    <t>TX-1072</t>
  </si>
  <si>
    <t>TX-1081</t>
  </si>
  <si>
    <t>TX-1073</t>
  </si>
  <si>
    <t>TX-1079</t>
  </si>
  <si>
    <t>TX-1074</t>
  </si>
  <si>
    <t>Pixel &amp; Pastry Media</t>
  </si>
  <si>
    <t>TX-1080</t>
  </si>
  <si>
    <t>Bank Reconciliation</t>
  </si>
  <si>
    <t>As of</t>
  </si>
  <si>
    <t>TX-1075</t>
  </si>
  <si>
    <t>Book Balance</t>
  </si>
  <si>
    <t>Statement Balance</t>
  </si>
  <si>
    <t>Deposits in Transit</t>
  </si>
  <si>
    <t>Outstanding Payments</t>
  </si>
  <si>
    <t>Adjusted Bank Balance</t>
  </si>
  <si>
    <t>TX-1082</t>
  </si>
  <si>
    <t>Paypal</t>
  </si>
  <si>
    <t>TX-1076</t>
  </si>
  <si>
    <t>Reconciliation Items</t>
  </si>
  <si>
    <t>Reference</t>
  </si>
  <si>
    <t>Amount</t>
  </si>
  <si>
    <t>Deposit in Transit</t>
  </si>
  <si>
    <t>December sponsorship payment</t>
  </si>
  <si>
    <t>Merchandise settlement</t>
  </si>
  <si>
    <t>Outstanding Payment</t>
  </si>
  <si>
    <t>Advertising invoice</t>
  </si>
  <si>
    <t>Software subscription</t>
  </si>
  <si>
    <t>TX-1077</t>
  </si>
  <si>
    <t>TX-1083</t>
  </si>
  <si>
    <t>TX-1078</t>
  </si>
  <si>
    <t>TX-1084</t>
  </si>
  <si>
    <t>TX-1093</t>
  </si>
  <si>
    <t>Q3</t>
  </si>
  <si>
    <t>TX-1085</t>
  </si>
  <si>
    <t>TX-1091</t>
  </si>
  <si>
    <t>TX-1086</t>
  </si>
  <si>
    <t>TX-1092</t>
  </si>
  <si>
    <t>TX-1087</t>
  </si>
  <si>
    <t>TX-1094</t>
  </si>
  <si>
    <t>TX-1088</t>
  </si>
  <si>
    <t>TX-1089</t>
  </si>
  <si>
    <t>TX-1095</t>
  </si>
  <si>
    <t>TX-1090</t>
  </si>
  <si>
    <t>TX-1096</t>
  </si>
  <si>
    <t>TX-1105</t>
  </si>
  <si>
    <t>TX-1097</t>
  </si>
  <si>
    <t>TX-1103</t>
  </si>
  <si>
    <t>TX-1098</t>
  </si>
  <si>
    <t>TX-1104</t>
  </si>
  <si>
    <t>TX-1099</t>
  </si>
  <si>
    <t>TX-1106</t>
  </si>
  <si>
    <t>TX-1100</t>
  </si>
  <si>
    <t>TX-1101</t>
  </si>
  <si>
    <t>TX-1107</t>
  </si>
  <si>
    <t>TX-1102</t>
  </si>
  <si>
    <t>TX-1108</t>
  </si>
  <si>
    <t>TX-1117</t>
  </si>
  <si>
    <t>TX-1109</t>
  </si>
  <si>
    <t>TX-1115</t>
  </si>
  <si>
    <t>TX-1110</t>
  </si>
  <si>
    <t>TX-1116</t>
  </si>
  <si>
    <t>TX-1111</t>
  </si>
  <si>
    <t>TX-1118</t>
  </si>
  <si>
    <t>TX-1112</t>
  </si>
  <si>
    <t>TX-1113</t>
  </si>
  <si>
    <t>TX-1119</t>
  </si>
  <si>
    <t>TX-1114</t>
  </si>
  <si>
    <t>TX-1120</t>
  </si>
  <si>
    <t>TX-1132</t>
  </si>
  <si>
    <t>Q4</t>
  </si>
  <si>
    <t>TX-1133</t>
  </si>
  <si>
    <t>TX-1134</t>
  </si>
  <si>
    <t>TX-1135</t>
  </si>
  <si>
    <t>TX-1136</t>
  </si>
  <si>
    <t>TX-1137</t>
  </si>
  <si>
    <t>TX-1138</t>
  </si>
  <si>
    <t>TX-1139</t>
  </si>
  <si>
    <t>TX-1140</t>
  </si>
  <si>
    <t>TX-1141</t>
  </si>
  <si>
    <t>TX-1142</t>
  </si>
  <si>
    <t>TX-1143</t>
  </si>
  <si>
    <t>TX-1144</t>
  </si>
  <si>
    <t>TX-1145</t>
  </si>
  <si>
    <t>TX-1146</t>
  </si>
  <si>
    <t>TX-1147</t>
  </si>
  <si>
    <t>Holiday sponsored stream campaign</t>
  </si>
  <si>
    <t>TX-1148</t>
  </si>
  <si>
    <t>Shopify holiday merchandise settlement</t>
  </si>
  <si>
    <t>TX-1149</t>
  </si>
  <si>
    <t>TX-1150</t>
  </si>
  <si>
    <t>TX-1151</t>
  </si>
  <si>
    <t>TX-1152</t>
  </si>
  <si>
    <t>TX-1153</t>
  </si>
  <si>
    <t>Creator software subscriptions</t>
  </si>
  <si>
    <t>Adobe and Canva</t>
  </si>
  <si>
    <t>TX-1154</t>
  </si>
  <si>
    <t>Portable lighting equipment</t>
  </si>
  <si>
    <t>TX-1155</t>
  </si>
  <si>
    <t>TX-1156</t>
  </si>
  <si>
    <t>TX-1157</t>
  </si>
  <si>
    <t>Holiday social media advertising</t>
  </si>
  <si>
    <t>TX-1158</t>
  </si>
  <si>
    <t>TX-1159</t>
  </si>
  <si>
    <t>Holiday merchandise shipping</t>
  </si>
  <si>
    <t>TX-1160</t>
  </si>
  <si>
    <t>TX-1161</t>
  </si>
  <si>
    <t>TX-1162</t>
  </si>
  <si>
    <t>Year-end sponsored stream campaign</t>
  </si>
  <si>
    <t>TX-1163</t>
  </si>
  <si>
    <t>TX-1164</t>
  </si>
  <si>
    <t>TX-1165</t>
  </si>
  <si>
    <t>TX-1166</t>
  </si>
  <si>
    <t>TX-1167</t>
  </si>
  <si>
    <t>TX-1168</t>
  </si>
  <si>
    <t>Adobe and StreamYard</t>
  </si>
  <si>
    <t>TX-1169</t>
  </si>
  <si>
    <t>Holiday games and stream content</t>
  </si>
  <si>
    <t>TX-1170</t>
  </si>
  <si>
    <t>TX-1171</t>
  </si>
  <si>
    <t>Year-end social media advertising</t>
  </si>
  <si>
    <t>TX-1172</t>
  </si>
  <si>
    <t>Freelance holiday video editing</t>
  </si>
  <si>
    <t>TX-1173</t>
  </si>
  <si>
    <t>TX-1174</t>
  </si>
  <si>
    <t>Year-end office and printer supplies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</si>
</sst>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m yyyy"/>
    <numFmt numFmtId="165" formatCode="$#,##0.00;[Red]($#,##0.00)"/>
    <numFmt numFmtId="166" formatCode="mmm d, yyyy"/>
    <numFmt numFmtId="167" formatCode="$#,##0;[Red]($#,##0)"/>
    <numFmt numFmtId="168" formatCode="0.0%"/>
    <numFmt numFmtId="169" formatCode="mmm&quot; &quot;yyyy"/>
    <numFmt numFmtId="170" formatCode="&quot;$&quot;#,##0.00"/>
    <numFmt numFmtId="171" formatCode="$#,##0"/>
    <numFmt numFmtId="172" formatCode="mmmm&quot;  &quot;yyyy"/>
    <numFmt numFmtId="173" formatCode="mmm yyyy"/>
    <numFmt numFmtId="174" formatCode="m/d/yyyy"/>
  </numFmts>
  <fonts count="27">
    <font>
      <sz val="11.0"/>
      <color rgb="FF000000"/>
      <name val="Carlito"/>
      <scheme val="minor"/>
    </font>
    <font>
      <sz val="10.0"/>
      <color rgb="FF202938"/>
      <name val="Arial"/>
    </font>
    <font>
      <b/>
      <sz val="11.0"/>
      <color rgb="FFFFFFFF"/>
      <name val="Arial"/>
    </font>
    <font>
      <b/>
      <sz val="10.0"/>
      <color rgb="FF172033"/>
      <name val="Arial"/>
    </font>
    <font>
      <sz val="13.0"/>
      <color rgb="FF202938"/>
      <name val="Arial"/>
    </font>
    <font>
      <sz val="10.0"/>
      <color theme="1"/>
      <name val="Arial"/>
    </font>
    <font>
      <sz val="13.0"/>
      <color theme="1"/>
      <name val="Arial"/>
    </font>
    <font>
      <b/>
      <sz val="16.0"/>
      <color rgb="FF172033"/>
      <name val="Arial"/>
    </font>
    <font>
      <i/>
      <sz val="10.0"/>
      <color rgb="FF667085"/>
      <name val="Arial"/>
    </font>
    <font>
      <b/>
      <sz val="10.0"/>
      <color rgb="FF667085"/>
      <name val="Arial"/>
    </font>
    <font/>
    <font>
      <b/>
      <sz val="15.0"/>
      <color rgb="FF172033"/>
      <name val="Arial"/>
    </font>
    <font>
      <b/>
      <sz val="10.0"/>
      <color rgb="FFFFFFFF"/>
      <name val="Arial"/>
    </font>
    <font>
      <sz val="13.0"/>
      <color theme="1"/>
      <name val="Carlito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202938"/>
      <name val="Arial"/>
    </font>
    <font>
      <sz val="11.0"/>
      <color theme="1"/>
      <name val="Carlito"/>
    </font>
    <font>
      <b/>
      <color rgb="FF172033"/>
      <name val="Arial"/>
    </font>
    <font>
      <color rgb="FF202938"/>
      <name val="Arial"/>
    </font>
    <font>
      <b/>
      <color rgb="FFFFFFFF"/>
      <name val="Arial"/>
    </font>
    <font>
      <b/>
      <sz val="13.0"/>
      <color rgb="FF172033"/>
      <name val="Arial"/>
    </font>
    <font>
      <b/>
      <sz val="12.0"/>
      <color rgb="FFFFFFFF"/>
      <name val="Arial"/>
    </font>
    <font>
      <sz val="12.0"/>
      <color theme="1"/>
      <name val="Carlito"/>
      <scheme val="minor"/>
    </font>
    <font>
      <b/>
      <sz val="12.0"/>
      <color rgb="FFFFFFFF"/>
      <name val="Carlito"/>
      <scheme val="minor"/>
    </font>
    <font>
      <b/>
      <sz val="12.0"/>
      <color theme="1"/>
      <name val="Carlito"/>
      <scheme val="minor"/>
    </font>
    <font>
      <color theme="1"/>
      <name val="Carlito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72033"/>
        <bgColor rgb="FF172033"/>
      </patternFill>
    </fill>
    <fill>
      <patternFill patternType="solid">
        <fgColor rgb="FFEAF0FF"/>
        <bgColor rgb="FFEAF0FF"/>
      </patternFill>
    </fill>
    <fill>
      <patternFill patternType="solid">
        <fgColor rgb="FFF8FAFC"/>
        <bgColor rgb="FFF8FAFC"/>
      </patternFill>
    </fill>
    <fill>
      <patternFill patternType="solid">
        <fgColor rgb="FFF2F4F7"/>
        <bgColor rgb="FFF2F4F7"/>
      </patternFill>
    </fill>
    <fill>
      <patternFill patternType="solid">
        <fgColor rgb="FF18864B"/>
        <bgColor rgb="FF18864B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172033"/>
      </left>
      <top style="thin">
        <color rgb="FF172033"/>
      </top>
      <bottom style="thin">
        <color rgb="FF172033"/>
      </bottom>
    </border>
    <border>
      <top style="thin">
        <color rgb="FF172033"/>
      </top>
      <bottom style="thin">
        <color rgb="FF172033"/>
      </bottom>
    </border>
    <border>
      <right style="thin">
        <color rgb="FF172033"/>
      </right>
      <top style="thin">
        <color rgb="FF172033"/>
      </top>
      <bottom style="thin">
        <color rgb="FF172033"/>
      </bottom>
    </border>
    <border>
      <left style="thin">
        <color rgb="FFD0D5DD"/>
      </left>
      <top style="thin">
        <color rgb="FFD0D5DD"/>
      </top>
    </border>
    <border>
      <right style="thin">
        <color rgb="FFD0D5DD"/>
      </right>
      <top style="thin">
        <color rgb="FFD0D5DD"/>
      </top>
    </border>
    <border>
      <top style="thin">
        <color rgb="FF98A2B3"/>
      </top>
    </border>
    <border>
      <left style="thin">
        <color rgb="FFD0D5DD"/>
      </left>
    </border>
    <border>
      <right style="thin">
        <color rgb="FFD0D5DD"/>
      </right>
    </border>
    <border>
      <left style="thin">
        <color rgb="FFD0D5DD"/>
      </left>
      <bottom style="thin">
        <color rgb="FFD0D5DD"/>
      </bottom>
    </border>
    <border>
      <right style="thin">
        <color rgb="FFD0D5DD"/>
      </right>
      <bottom style="thin">
        <color rgb="FFD0D5DD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2" fillId="2" fontId="2" numFmtId="164" xfId="0" applyAlignment="1" applyBorder="1" applyFill="1" applyFont="1" applyNumberFormat="1">
      <alignment readingOrder="0" vertical="center"/>
    </xf>
    <xf borderId="3" fillId="2" fontId="2" numFmtId="0" xfId="0" applyAlignment="1" applyBorder="1" applyFill="1" applyFont="1">
      <alignment vertical="center"/>
    </xf>
    <xf borderId="0" fillId="3" fontId="3" numFmtId="0" xfId="0" applyAlignment="1" applyFill="1" applyFont="1">
      <alignment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shrinkToFit="0" vertical="center" wrapText="0"/>
    </xf>
    <xf borderId="4" fillId="4" fontId="9" numFmtId="0" xfId="0" applyAlignment="1" applyBorder="1" applyFill="1" applyFont="1">
      <alignment vertical="center"/>
    </xf>
    <xf borderId="5" fillId="0" fontId="10" numFmtId="0" xfId="0" applyBorder="1" applyFont="1"/>
    <xf borderId="0" fillId="0" fontId="9" numFmtId="0" xfId="0" applyFont="1"/>
    <xf borderId="6" fillId="5" fontId="3" numFmtId="0" xfId="0" applyAlignment="1" applyBorder="1" applyFill="1" applyFont="1">
      <alignment vertical="center"/>
    </xf>
    <xf borderId="6" fillId="5" fontId="3" numFmtId="165" xfId="0" applyAlignment="1" applyBorder="1" applyFill="1" applyFont="1" applyNumberFormat="1">
      <alignment vertical="center"/>
    </xf>
    <xf borderId="7" fillId="4" fontId="11" numFmtId="167" xfId="0" applyAlignment="1" applyBorder="1" applyFill="1" applyFont="1" applyNumberFormat="1">
      <alignment vertical="center"/>
    </xf>
    <xf borderId="8" fillId="0" fontId="10" numFmtId="0" xfId="0" applyBorder="1" applyFont="1"/>
    <xf borderId="0" fillId="0" fontId="11" numFmtId="167" xfId="0" applyFont="1" applyNumberFormat="1"/>
    <xf borderId="0" fillId="3" fontId="3" numFmtId="165" xfId="0" applyAlignment="1" applyFill="1" applyFont="1" applyNumberFormat="1">
      <alignment vertical="center"/>
    </xf>
    <xf borderId="0" fillId="0" fontId="11" numFmtId="0" xfId="0" applyFont="1"/>
    <xf borderId="7" fillId="4" fontId="11" numFmtId="168" xfId="0" applyAlignment="1" applyBorder="1" applyFill="1" applyFont="1" applyNumberFormat="1">
      <alignment vertical="center"/>
    </xf>
    <xf borderId="9" fillId="0" fontId="10" numFmtId="0" xfId="0" applyBorder="1" applyFont="1"/>
    <xf borderId="10" fillId="0" fontId="10" numFmtId="0" xfId="0" applyBorder="1" applyFont="1"/>
    <xf borderId="0" fillId="2" fontId="12" numFmtId="0" xfId="0" applyAlignment="1" applyFill="1" applyFont="1">
      <alignment horizontal="center" vertical="center"/>
    </xf>
    <xf borderId="0" fillId="0" fontId="1" numFmtId="169" xfId="0" applyAlignment="1" applyFont="1" applyNumberFormat="1">
      <alignment horizontal="left" readingOrder="0"/>
    </xf>
    <xf borderId="0" fillId="0" fontId="1" numFmtId="170" xfId="0" applyFont="1" applyNumberFormat="1"/>
    <xf borderId="0" fillId="0" fontId="13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170" xfId="0" applyAlignment="1" applyFont="1" applyNumberFormat="1">
      <alignment horizontal="right"/>
    </xf>
    <xf borderId="0" fillId="0" fontId="14" numFmtId="0" xfId="0" applyFont="1"/>
    <xf borderId="0" fillId="0" fontId="14" numFmtId="169" xfId="0" applyAlignment="1" applyFont="1" applyNumberFormat="1">
      <alignment horizontal="left" readingOrder="0" vertical="center"/>
    </xf>
    <xf borderId="0" fillId="0" fontId="14" numFmtId="170" xfId="0" applyAlignment="1" applyFont="1" applyNumberFormat="1">
      <alignment horizontal="right" vertical="center"/>
    </xf>
    <xf borderId="0" fillId="0" fontId="14" numFmtId="170" xfId="0" applyAlignment="1" applyFont="1" applyNumberFormat="1">
      <alignment horizontal="right"/>
    </xf>
    <xf borderId="6" fillId="6" fontId="12" numFmtId="0" xfId="0" applyAlignment="1" applyBorder="1" applyFill="1" applyFont="1">
      <alignment vertical="center"/>
    </xf>
    <xf borderId="0" fillId="0" fontId="15" numFmtId="169" xfId="0" applyAlignment="1" applyFont="1" applyNumberFormat="1">
      <alignment horizontal="left" readingOrder="0" vertical="center"/>
    </xf>
    <xf borderId="0" fillId="0" fontId="15" numFmtId="170" xfId="0" applyAlignment="1" applyFont="1" applyNumberFormat="1">
      <alignment horizontal="right" vertical="center"/>
    </xf>
    <xf borderId="6" fillId="6" fontId="12" numFmtId="165" xfId="0" applyAlignment="1" applyBorder="1" applyFill="1" applyFont="1" applyNumberFormat="1">
      <alignment vertical="center"/>
    </xf>
    <xf borderId="0" fillId="0" fontId="15" numFmtId="170" xfId="0" applyAlignment="1" applyFont="1" applyNumberFormat="1">
      <alignment horizontal="right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" numFmtId="168" xfId="0" applyAlignment="1" applyFont="1" applyNumberFormat="1">
      <alignment vertical="center"/>
    </xf>
    <xf borderId="0" fillId="2" fontId="12" numFmtId="0" xfId="0" applyAlignment="1" applyFill="1" applyFont="1">
      <alignment horizontal="center" readingOrder="0" vertical="center"/>
    </xf>
    <xf borderId="3" fillId="2" fontId="2" numFmtId="0" xfId="0" applyAlignment="1" applyBorder="1" applyFill="1" applyFont="1">
      <alignment readingOrder="0" vertical="center"/>
    </xf>
    <xf borderId="0" fillId="0" fontId="1" numFmtId="171" xfId="0" applyFont="1" applyNumberFormat="1"/>
    <xf borderId="0" fillId="0" fontId="1" numFmtId="168" xfId="0" applyFont="1" applyNumberFormat="1"/>
    <xf borderId="0" fillId="0" fontId="16" numFmtId="0" xfId="0" applyFont="1"/>
    <xf borderId="0" fillId="0" fontId="1" numFmtId="165" xfId="0" applyFont="1" applyNumberFormat="1"/>
    <xf borderId="0" fillId="0" fontId="1" numFmtId="0" xfId="0" applyAlignment="1" applyFont="1">
      <alignment horizontal="right"/>
    </xf>
    <xf borderId="0" fillId="0" fontId="4" numFmtId="0" xfId="0" applyAlignment="1" applyFont="1">
      <alignment vertical="center"/>
    </xf>
    <xf borderId="0" fillId="0" fontId="17" numFmtId="0" xfId="0" applyFont="1"/>
    <xf borderId="1" fillId="2" fontId="2" numFmtId="0" xfId="0" applyBorder="1" applyFill="1" applyFont="1"/>
    <xf borderId="2" fillId="2" fontId="2" numFmtId="164" xfId="0" applyAlignment="1" applyBorder="1" applyFill="1" applyFont="1" applyNumberFormat="1">
      <alignment readingOrder="0"/>
    </xf>
    <xf borderId="3" fillId="2" fontId="2" numFmtId="0" xfId="0" applyAlignment="1" applyBorder="1" applyFill="1" applyFont="1">
      <alignment readingOrder="0"/>
    </xf>
    <xf borderId="0" fillId="3" fontId="18" numFmtId="0" xfId="0" applyFill="1" applyFont="1"/>
    <xf borderId="0" fillId="3" fontId="17" numFmtId="0" xfId="0" applyFill="1" applyFont="1"/>
    <xf borderId="0" fillId="0" fontId="19" numFmtId="0" xfId="0" applyFont="1"/>
    <xf borderId="0" fillId="0" fontId="19" numFmtId="165" xfId="0" applyAlignment="1" applyFont="1" applyNumberFormat="1">
      <alignment horizontal="right"/>
    </xf>
    <xf borderId="6" fillId="5" fontId="18" numFmtId="0" xfId="0" applyBorder="1" applyFill="1" applyFont="1"/>
    <xf borderId="6" fillId="5" fontId="18" numFmtId="165" xfId="0" applyAlignment="1" applyBorder="1" applyFill="1" applyFont="1" applyNumberFormat="1">
      <alignment horizontal="right"/>
    </xf>
    <xf borderId="0" fillId="0" fontId="17" numFmtId="165" xfId="0" applyFont="1" applyNumberFormat="1"/>
    <xf borderId="0" fillId="3" fontId="17" numFmtId="165" xfId="0" applyFill="1" applyFont="1" applyNumberFormat="1"/>
    <xf borderId="6" fillId="6" fontId="20" numFmtId="0" xfId="0" applyBorder="1" applyFill="1" applyFont="1"/>
    <xf borderId="6" fillId="6" fontId="20" numFmtId="165" xfId="0" applyAlignment="1" applyBorder="1" applyFill="1" applyFont="1" applyNumberFormat="1">
      <alignment horizontal="right"/>
    </xf>
    <xf borderId="0" fillId="0" fontId="19" numFmtId="168" xfId="0" applyAlignment="1" applyFont="1" applyNumberFormat="1">
      <alignment horizontal="right"/>
    </xf>
    <xf borderId="2" fillId="2" fontId="2" numFmtId="172" xfId="0" applyAlignment="1" applyBorder="1" applyFill="1" applyFont="1" applyNumberFormat="1">
      <alignment readingOrder="0"/>
    </xf>
    <xf borderId="0" fillId="0" fontId="21" numFmtId="0" xfId="0" applyAlignment="1" applyFont="1">
      <alignment vertical="center"/>
    </xf>
    <xf borderId="0" fillId="3" fontId="21" numFmtId="0" xfId="0" applyAlignment="1" applyFill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2" fontId="22" numFmtId="0" xfId="0" applyAlignment="1" applyFill="1" applyFont="1">
      <alignment vertical="center"/>
    </xf>
    <xf borderId="0" fillId="0" fontId="2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left" vertical="center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7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/>
    </xf>
    <xf borderId="0" fillId="0" fontId="23" numFmtId="0" xfId="0" applyFont="1"/>
    <xf borderId="0" fillId="0" fontId="23" numFmtId="174" xfId="0" applyAlignment="1" applyFont="1" applyNumberFormat="1">
      <alignment readingOrder="0"/>
    </xf>
    <xf borderId="0" fillId="7" fontId="24" numFmtId="0" xfId="0" applyAlignment="1" applyFill="1" applyFont="1">
      <alignment readingOrder="0"/>
    </xf>
    <xf borderId="0" fillId="0" fontId="23" numFmtId="170" xfId="0" applyAlignment="1" applyFont="1" applyNumberFormat="1">
      <alignment readingOrder="0"/>
    </xf>
    <xf borderId="0" fillId="0" fontId="23" numFmtId="170" xfId="0" applyFont="1" applyNumberFormat="1"/>
    <xf borderId="0" fillId="0" fontId="25" numFmtId="0" xfId="0" applyAlignment="1" applyFont="1">
      <alignment readingOrder="0"/>
    </xf>
    <xf borderId="0" fillId="0" fontId="23" numFmtId="170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26" numFmtId="0" xfId="0" applyAlignment="1" applyFont="1">
      <alignment horizontal="left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0E5A63"/>
          <bgColor rgb="FF0E5A63"/>
        </patternFill>
      </fill>
      <border/>
    </dxf>
    <dxf>
      <font/>
      <fill>
        <patternFill patternType="solid">
          <fgColor rgb="FFDDF4F2"/>
          <bgColor rgb="FFDDF4F2"/>
        </patternFill>
      </fill>
      <border/>
    </dxf>
    <dxf>
      <font/>
      <fill>
        <patternFill patternType="solid">
          <fgColor rgb="FFB9E4DF"/>
          <bgColor rgb="FFB9E4DF"/>
        </patternFill>
      </fill>
      <border/>
    </dxf>
    <dxf>
      <border>
        <left style="thin">
          <color rgb="FF0E5A63"/>
        </left>
        <right style="thin">
          <color rgb="FF0E5A63"/>
        </right>
        <top style="thin">
          <color rgb="FF0E5A63"/>
        </top>
        <bottom style="thin">
          <color rgb="FF0E5A63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2B1728"/>
          <bgColor rgb="FF2B1728"/>
        </patternFill>
      </fill>
      <border/>
    </dxf>
    <dxf>
      <font/>
      <fill>
        <patternFill patternType="solid">
          <fgColor rgb="FFF3EBDD"/>
          <bgColor rgb="FFF3EBDD"/>
        </patternFill>
      </fill>
      <border/>
    </dxf>
    <dxf>
      <font/>
      <fill>
        <patternFill patternType="solid">
          <fgColor rgb="FFE3E7DE"/>
          <bgColor rgb="FFE3E7DE"/>
        </patternFill>
      </fill>
      <border/>
    </dxf>
    <dxf>
      <border>
        <left style="thin">
          <color rgb="FF2B1728"/>
        </left>
        <right style="thin">
          <color rgb="FF2B1728"/>
        </right>
        <top style="thin">
          <color rgb="FF2B1728"/>
        </top>
        <bottom style="thin">
          <color rgb="FF2B1728"/>
        </bottom>
      </border>
    </dxf>
    <dxf>
      <font/>
      <fill>
        <patternFill patternType="solid">
          <fgColor rgb="FF8A5A00"/>
          <bgColor rgb="FF8A5A00"/>
        </patternFill>
      </fill>
      <border/>
    </dxf>
    <dxf>
      <font/>
      <fill>
        <patternFill patternType="solid">
          <fgColor rgb="FFFFF1C7"/>
          <bgColor rgb="FFFFF1C7"/>
        </patternFill>
      </fill>
      <border/>
    </dxf>
    <dxf>
      <font/>
      <fill>
        <patternFill patternType="solid">
          <fgColor rgb="FFF2D48A"/>
          <bgColor rgb="FFF2D48A"/>
        </patternFill>
      </fill>
      <border/>
    </dxf>
    <dxf>
      <font>
        <b/>
        <color rgb="FFB42318"/>
      </font>
      <fill>
        <patternFill patternType="solid">
          <fgColor rgb="FFFEE4E2"/>
          <bgColor rgb="FFFEE4E2"/>
        </patternFill>
      </fill>
      <border/>
    </dxf>
    <dxf>
      <font>
        <b/>
        <color rgb="FF18864B"/>
      </font>
      <fill>
        <patternFill patternType="none"/>
      </fill>
      <border/>
    </dxf>
    <dxf>
      <font>
        <color rgb="FF000000"/>
      </font>
      <fill>
        <patternFill patternType="solid">
          <fgColor rgb="FF38761D"/>
          <bgColor rgb="FF38761D"/>
        </patternFill>
      </fill>
      <border/>
    </dxf>
  </dxfs>
  <tableStyles count="4"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A &amp; Category Map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COA &amp; Category Map-style 2">
      <tableStyleElement dxfId="9" type="headerRow"/>
      <tableStyleElement dxfId="10" type="firstRowStripe"/>
      <tableStyleElement dxfId="11" type="secondRowStripe"/>
      <tableStyleElement dxfId="12" size="0" type="wholeTable"/>
    </tableStyle>
    <tableStyle count="4" pivot="0" name="COA &amp; Category Map-style 3">
      <tableStyleElement dxfId="13" type="headerRow"/>
      <tableStyleElement dxfId="14" type="firstRowStripe"/>
      <tableStyleElement dxfId="15" type="secondRowStripe"/>
      <tableStyleElement dxfId="1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and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Dashboard!$B$10:$B$22</c:f>
            </c:strRef>
          </c:cat>
          <c:val>
            <c:numRef>
              <c:f>Dashboard!$C$10:$C$22</c:f>
              <c:numCache/>
            </c:numRef>
          </c:val>
        </c:ser>
        <c:ser>
          <c:idx val="1"/>
          <c:order val="1"/>
          <c:tx>
            <c:v>Expenses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Dashboard!$B$10:$B$22</c:f>
            </c:strRef>
          </c:cat>
          <c:val>
            <c:numRef>
              <c:f>Dashboard!$D$10:$D$22</c:f>
              <c:numCache/>
            </c:numRef>
          </c:val>
        </c:ser>
        <c:axId val="33382006"/>
        <c:axId val="1264919680"/>
      </c:barChart>
      <c:catAx>
        <c:axId val="33382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</a:p>
        </c:txPr>
        <c:crossAx val="1264919680"/>
      </c:catAx>
      <c:valAx>
        <c:axId val="1264919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</a:p>
        </c:txPr>
        <c:crossAx val="33382006"/>
      </c:valAx>
    </c:plotArea>
    <c:legend>
      <c:legendPos val="t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9</xdr:row>
      <xdr:rowOff>0</xdr:rowOff>
    </xdr:from>
    <xdr:ext cx="7924800" cy="2800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75" displayName="CreatorTransactions" name="CreatorTransactions" id="1">
  <tableColumns count="15">
    <tableColumn name="Transaction ID" id="1"/>
    <tableColumn name="Date" id="2"/>
    <tableColumn name="Month" id="3"/>
    <tableColumn name="Description" id="4"/>
    <tableColumn name="Account" id="5"/>
    <tableColumn name="Type" id="6"/>
    <tableColumn name="Category" id="7"/>
    <tableColumn name="Revenue Stream" id="8"/>
    <tableColumn name="Inflow" id="9"/>
    <tableColumn name="Outflow" id="10"/>
    <tableColumn name="Net Amount" id="11"/>
    <tableColumn name="Reconciled" id="12"/>
    <tableColumn name="Notes" id="13"/>
    <tableColumn name="Duplicate Flag" id="14"/>
    <tableColumn name="Quarter" id="15"/>
  </tableColumns>
  <tableStyleInfo name="Transactions-style" showColumnStripes="0" showFirstColumn="1" showLastColumn="1" showRowStripes="1"/>
</table>
</file>

<file path=xl/tables/table2.xml><?xml version="1.0" encoding="utf-8"?>
<table xmlns="http://schemas.openxmlformats.org/spreadsheetml/2006/main" ref="A1:C19" displayName="CategoryMapping" name="CategoryMapping" id="2">
  <tableColumns count="3">
    <tableColumn name="Merchant / Source" id="1"/>
    <tableColumn name="Type" id="2"/>
    <tableColumn name="Mapped Category" id="3"/>
  </tableColumns>
  <tableStyleInfo name="COA &amp; Category Map-style" showColumnStripes="0" showFirstColumn="1" showLastColumn="1" showRowStripes="1"/>
</table>
</file>

<file path=xl/tables/table3.xml><?xml version="1.0" encoding="utf-8"?>
<table xmlns="http://schemas.openxmlformats.org/spreadsheetml/2006/main" ref="E1:K30" displayName="Chart_of_Accounts" name="Chart_of_Accounts" id="3">
  <tableColumns count="7">
    <tableColumn name="Account Number" id="1"/>
    <tableColumn name="Account Name" id="2"/>
    <tableColumn name="Account Type" id="3"/>
    <tableColumn name="Normal Balance" id="4"/>
    <tableColumn name="Ledger Field" id="5"/>
    <tableColumn name="Matching Label" id="6"/>
    <tableColumn name="Transaction Count" id="7"/>
  </tableColumns>
  <tableStyleInfo name="COA &amp; Category Map-style 2" showColumnStripes="0" showFirstColumn="1" showLastColumn="1" showRowStripes="1"/>
</table>
</file>

<file path=xl/tables/table4.xml><?xml version="1.0" encoding="utf-8"?>
<table xmlns="http://schemas.openxmlformats.org/spreadsheetml/2006/main" ref="M1:N8" displayName="Account_Type_Summary" name="Account_Type_Summary" id="4">
  <tableColumns count="2">
    <tableColumn name="Account Type" id="1"/>
    <tableColumn name="Number of Accounts" id="2"/>
  </tableColumns>
  <tableStyleInfo name="COA &amp; Category Map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2033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7.0"/>
    <col customWidth="1" min="3" max="6" width="15.0"/>
    <col customWidth="1" min="7" max="14" width="13.0"/>
    <col customWidth="1" min="15" max="26" width="8.63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22" t="s">
        <v>48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23" t="s">
        <v>49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25" t="s">
        <v>51</v>
      </c>
      <c r="C5" s="26"/>
      <c r="D5" s="27"/>
      <c r="E5" s="25" t="s">
        <v>54</v>
      </c>
      <c r="F5" s="26"/>
      <c r="G5" s="27"/>
      <c r="H5" s="25" t="s">
        <v>55</v>
      </c>
      <c r="I5" s="26"/>
      <c r="J5" s="27"/>
      <c r="K5" s="25" t="s">
        <v>56</v>
      </c>
      <c r="L5" s="2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30">
        <f>$C$23</f>
        <v>77602</v>
      </c>
      <c r="C6" s="31"/>
      <c r="D6" s="32"/>
      <c r="E6" s="30">
        <f>$D$23</f>
        <v>16650</v>
      </c>
      <c r="F6" s="31"/>
      <c r="G6" s="32"/>
      <c r="H6" s="30">
        <f>$E$23</f>
        <v>60952</v>
      </c>
      <c r="I6" s="31"/>
      <c r="J6" s="34"/>
      <c r="K6" s="35">
        <f>IFERROR($E$23/$C$23,0)</f>
        <v>0.7854436741</v>
      </c>
      <c r="L6" s="31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36"/>
      <c r="C7" s="37"/>
      <c r="D7" s="32"/>
      <c r="E7" s="36"/>
      <c r="F7" s="37"/>
      <c r="G7" s="32"/>
      <c r="H7" s="36"/>
      <c r="I7" s="37"/>
      <c r="J7" s="34"/>
      <c r="K7" s="36"/>
      <c r="L7" s="37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38" t="s">
        <v>6</v>
      </c>
      <c r="C10" s="38" t="s">
        <v>2</v>
      </c>
      <c r="D10" s="38" t="s">
        <v>58</v>
      </c>
      <c r="E10" s="38" t="s">
        <v>55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39">
        <v>46023.0</v>
      </c>
      <c r="C11" s="40">
        <f>SUMIFS(Transactions!$I:$I,Transactions!$B:$B,"&gt;="&amp;$B11,Transactions!$B:$B,"&lt;"&amp;EDATE($B11,1))</f>
        <v>3995</v>
      </c>
      <c r="D11" s="40">
        <f>SUMIFS(Transactions!$J:$J,Transactions!$B:$B,"&gt;="&amp;$B11,Transactions!$B:$B,"&lt;"&amp;EDATE($B11,1))</f>
        <v>1566</v>
      </c>
      <c r="E11" s="40">
        <f t="shared" ref="E11:E22" si="1">C11-D11</f>
        <v>2429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39">
        <v>46054.0</v>
      </c>
      <c r="C12" s="40">
        <f>SUMIFS(Transactions!$I:$I,Transactions!$B:$B,"&gt;="&amp;$B12,Transactions!$B:$B,"&lt;"&amp;EDATE($B12,1))</f>
        <v>4622</v>
      </c>
      <c r="D12" s="40">
        <f>SUMIFS(Transactions!$J:$J,Transactions!$B:$B,"&gt;="&amp;$B12,Transactions!$B:$B,"&lt;"&amp;EDATE($B12,1))</f>
        <v>1157</v>
      </c>
      <c r="E12" s="40">
        <f t="shared" si="1"/>
        <v>3465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39">
        <v>46082.0</v>
      </c>
      <c r="C13" s="40">
        <f>SUMIFS(Transactions!$I:$I,Transactions!$B:$B,"&gt;="&amp;$B13,Transactions!$B:$B,"&lt;"&amp;EDATE($B13,1))</f>
        <v>5273</v>
      </c>
      <c r="D13" s="40">
        <f>SUMIFS(Transactions!$J:$J,Transactions!$B:$B,"&gt;="&amp;$B13,Transactions!$B:$B,"&lt;"&amp;EDATE($B13,1))</f>
        <v>1970</v>
      </c>
      <c r="E13" s="40">
        <f t="shared" si="1"/>
        <v>3303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39">
        <v>46113.0</v>
      </c>
      <c r="C14" s="40">
        <f>SUMIFS(Transactions!$I:$I,Transactions!$B:$B,"&gt;="&amp;$B14,Transactions!$B:$B,"&lt;"&amp;EDATE($B14,1))</f>
        <v>5561</v>
      </c>
      <c r="D14" s="40">
        <f>SUMIFS(Transactions!$J:$J,Transactions!$B:$B,"&gt;="&amp;$B14,Transactions!$B:$B,"&lt;"&amp;EDATE($B14,1))</f>
        <v>2084</v>
      </c>
      <c r="E14" s="40">
        <f t="shared" si="1"/>
        <v>3477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39">
        <v>46143.0</v>
      </c>
      <c r="C15" s="43">
        <f>SUMIFS(Transactions!$I:$I,Transactions!$B:$B,"&gt;="&amp;$B15,Transactions!$B:$B,"&lt;"&amp;EDATE($B15,1))</f>
        <v>5809</v>
      </c>
      <c r="D15" s="43">
        <f>SUMIFS(Transactions!$J:$J,Transactions!$B:$B,"&gt;="&amp;$B15,Transactions!$B:$B,"&lt;"&amp;EDATE($B15,1))</f>
        <v>1001</v>
      </c>
      <c r="E15" s="43">
        <f t="shared" si="1"/>
        <v>4808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39">
        <v>46174.0</v>
      </c>
      <c r="C16" s="43">
        <f>SUMIFS(Transactions!$I:$I,Transactions!$B:$B,"&gt;="&amp;$B16,Transactions!$B:$B,"&lt;"&amp;EDATE($B16,1))</f>
        <v>6127</v>
      </c>
      <c r="D16" s="43">
        <f>SUMIFS(Transactions!$J:$J,Transactions!$B:$B,"&gt;="&amp;$B16,Transactions!$B:$B,"&lt;"&amp;EDATE($B16,1))</f>
        <v>626</v>
      </c>
      <c r="E16" s="43">
        <f t="shared" si="1"/>
        <v>5501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44"/>
      <c r="B17" s="45">
        <v>46204.0</v>
      </c>
      <c r="C17" s="46">
        <f>SUMIFS(Transactions!$I:$I,Transactions!$B:$B,"&gt;="&amp;$B17,Transactions!$B:$B,"&lt;"&amp;EDATE($B17,1))</f>
        <v>6535</v>
      </c>
      <c r="D17" s="46">
        <f>SUMIFS(Transactions!$J:$J,Transactions!$B:$B,"&gt;="&amp;$B17,Transactions!$B:$B,"&lt;"&amp;EDATE($B17,1))</f>
        <v>1063</v>
      </c>
      <c r="E17" s="47">
        <f t="shared" si="1"/>
        <v>5472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44"/>
      <c r="B18" s="45">
        <v>46235.0</v>
      </c>
      <c r="C18" s="46">
        <f>SUMIFS(Transactions!$I:$I,Transactions!$B:$B,"&gt;="&amp;$B18,Transactions!$B:$B,"&lt;"&amp;EDATE($B18,1))</f>
        <v>6955</v>
      </c>
      <c r="D18" s="46">
        <f>SUMIFS(Transactions!$J:$J,Transactions!$B:$B,"&gt;="&amp;$B18,Transactions!$B:$B,"&lt;"&amp;EDATE($B18,1))</f>
        <v>695</v>
      </c>
      <c r="E18" s="47">
        <f t="shared" si="1"/>
        <v>6260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44"/>
      <c r="B19" s="45">
        <v>46266.0</v>
      </c>
      <c r="C19" s="46">
        <f>SUMIFS(Transactions!$I:$I,Transactions!$B:$B,"&gt;="&amp;$B19,Transactions!$B:$B,"&lt;"&amp;EDATE($B19,1))</f>
        <v>7370</v>
      </c>
      <c r="D19" s="46">
        <f>SUMIFS(Transactions!$J:$J,Transactions!$B:$B,"&gt;="&amp;$B19,Transactions!$B:$B,"&lt;"&amp;EDATE($B19,1))</f>
        <v>1172</v>
      </c>
      <c r="E19" s="47">
        <f t="shared" si="1"/>
        <v>6198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44"/>
      <c r="B20" s="45">
        <v>46296.0</v>
      </c>
      <c r="C20" s="46">
        <f>SUMIFS(Transactions!$I:$I,Transactions!$B:$B,"&gt;="&amp;$B20,Transactions!$B:$B,"&lt;"&amp;EDATE($B20,1))</f>
        <v>7800</v>
      </c>
      <c r="D20" s="46">
        <f>SUMIFS(Transactions!$J:$J,Transactions!$B:$B,"&gt;="&amp;$B20,Transactions!$B:$B,"&lt;"&amp;EDATE($B20,1))</f>
        <v>1351</v>
      </c>
      <c r="E20" s="47">
        <f t="shared" si="1"/>
        <v>6449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44"/>
      <c r="B21" s="45">
        <v>46327.0</v>
      </c>
      <c r="C21" s="46">
        <f>SUMIFS(Transactions!$I:$I,Transactions!$B:$B,"&gt;="&amp;$B21,Transactions!$B:$B,"&lt;"&amp;EDATE($B21,1))</f>
        <v>8350</v>
      </c>
      <c r="D21" s="46">
        <f>SUMIFS(Transactions!$J:$J,Transactions!$B:$B,"&gt;="&amp;$B21,Transactions!$B:$B,"&lt;"&amp;EDATE($B21,1))</f>
        <v>2037</v>
      </c>
      <c r="E21" s="47">
        <f t="shared" si="1"/>
        <v>6313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44"/>
      <c r="B22" s="45">
        <v>46357.0</v>
      </c>
      <c r="C22" s="46">
        <f>SUMIFS(Transactions!$I:$I,Transactions!$B:$B,"&gt;="&amp;$B22,Transactions!$B:$B,"&lt;"&amp;EDATE($B22,1))</f>
        <v>9205</v>
      </c>
      <c r="D22" s="46">
        <f>SUMIFS(Transactions!$J:$J,Transactions!$B:$B,"&gt;="&amp;$B22,Transactions!$B:$B,"&lt;"&amp;EDATE($B22,1))</f>
        <v>1928</v>
      </c>
      <c r="E22" s="47">
        <f t="shared" si="1"/>
        <v>7277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44"/>
      <c r="B23" s="49" t="s">
        <v>98</v>
      </c>
      <c r="C23" s="50">
        <f t="shared" ref="C23:E23" si="2">SUM(C11:C22)</f>
        <v>77602</v>
      </c>
      <c r="D23" s="50">
        <f t="shared" si="2"/>
        <v>16650</v>
      </c>
      <c r="E23" s="52">
        <f t="shared" si="2"/>
        <v>60952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44"/>
      <c r="B24" s="53"/>
      <c r="C24" s="53"/>
      <c r="D24" s="53"/>
      <c r="E24" s="44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44"/>
      <c r="B25" s="54"/>
      <c r="C25" s="54"/>
      <c r="D25" s="54"/>
      <c r="E25" s="44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38" t="s">
        <v>11</v>
      </c>
      <c r="C26" s="56" t="s">
        <v>102</v>
      </c>
      <c r="D26" s="38" t="s">
        <v>103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 t="s">
        <v>3</v>
      </c>
      <c r="C27" s="58">
        <f t="array" ref="C27:C32">SUMIF(Transactions!$G:$G,B27:B32,Transactions!$I:$I)</f>
        <v>24610</v>
      </c>
      <c r="D27" s="59">
        <f t="array" ref="D27:D32">IFERROR(C27:C32/$C$33,0)</f>
        <v>0.3171310018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 t="s">
        <v>15</v>
      </c>
      <c r="C28" s="58">
        <v>7165.0</v>
      </c>
      <c r="D28" s="59">
        <v>0.0923300945851911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 t="s">
        <v>26</v>
      </c>
      <c r="C29" s="58">
        <v>27750.0</v>
      </c>
      <c r="D29" s="59">
        <v>0.3575938764464833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 t="s">
        <v>39</v>
      </c>
      <c r="C30" s="58">
        <v>11855.0</v>
      </c>
      <c r="D30" s="59">
        <v>0.15276668127110127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 t="s">
        <v>43</v>
      </c>
      <c r="C31" s="58">
        <v>2192.0</v>
      </c>
      <c r="D31" s="59">
        <v>0.02824669467281771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 t="s">
        <v>47</v>
      </c>
      <c r="C32" s="58">
        <v>4030.0</v>
      </c>
      <c r="D32" s="59">
        <v>0.051931651246101905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60" t="s">
        <v>113</v>
      </c>
      <c r="C33" s="58">
        <f t="shared" ref="C33:D33" si="3">SUM(C27:C32)</f>
        <v>77602</v>
      </c>
      <c r="D33" s="59">
        <f t="shared" si="3"/>
        <v>1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38" t="s">
        <v>115</v>
      </c>
      <c r="C36" s="38" t="s">
        <v>116</v>
      </c>
      <c r="D36" s="38" t="s">
        <v>117</v>
      </c>
      <c r="E36" s="38" t="s">
        <v>118</v>
      </c>
      <c r="F36" s="38" t="s">
        <v>119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 t="s">
        <v>120</v>
      </c>
      <c r="C37" s="61">
        <f t="array" ref="C37:C41">{SUM(Transactions!$I:$I);SUM(Transactions!$J:$J);SUM(Transactions!$I:$I)-SUM(Transactions!$J:$J);COUNTIFS(Transactions!$A:$A,"TX-*",Transactions!$G:$G,"");COUNTIF(Transactions!$N:$N,"&gt;0")}</f>
        <v>77602</v>
      </c>
      <c r="D37" s="61">
        <f t="array" ref="D37:D41">{$C$23;$D$23;$E$23;0;0}</f>
        <v>77602</v>
      </c>
      <c r="E37" s="61">
        <f t="array" ref="E37:E41">C37:C41-D37:D41</f>
        <v>0</v>
      </c>
      <c r="F37" s="62" t="str">
        <f t="array" ref="F37:F41">IF(ABS(E37:E41)&lt;0.01,"PASS","REVIEW")</f>
        <v>PASS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 t="s">
        <v>129</v>
      </c>
      <c r="C38" s="61">
        <v>16650.0</v>
      </c>
      <c r="D38" s="61">
        <v>16650.0</v>
      </c>
      <c r="E38" s="61">
        <v>0.0</v>
      </c>
      <c r="F38" s="62" t="s">
        <v>130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 t="s">
        <v>131</v>
      </c>
      <c r="C39" s="61">
        <v>60952.0</v>
      </c>
      <c r="D39" s="61">
        <v>60952.0</v>
      </c>
      <c r="E39" s="61">
        <v>0.0</v>
      </c>
      <c r="F39" s="62" t="s">
        <v>130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 t="s">
        <v>132</v>
      </c>
      <c r="C40" s="61">
        <v>0.0</v>
      </c>
      <c r="D40" s="61">
        <v>0.0</v>
      </c>
      <c r="E40" s="61">
        <v>0.0</v>
      </c>
      <c r="F40" s="62" t="s">
        <v>130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 t="s">
        <v>133</v>
      </c>
      <c r="C41" s="61">
        <v>0.0</v>
      </c>
      <c r="D41" s="61">
        <v>0.0</v>
      </c>
      <c r="E41" s="61">
        <v>0.0</v>
      </c>
      <c r="F41" s="62" t="s">
        <v>130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0">
    <mergeCell ref="H5:I5"/>
    <mergeCell ref="H6:I7"/>
    <mergeCell ref="B2:N2"/>
    <mergeCell ref="B3:N3"/>
    <mergeCell ref="B5:C5"/>
    <mergeCell ref="E5:F5"/>
    <mergeCell ref="K5:L5"/>
    <mergeCell ref="B6:C7"/>
    <mergeCell ref="E6:F7"/>
    <mergeCell ref="K6:L7"/>
  </mergeCells>
  <conditionalFormatting sqref="F37:F41">
    <cfRule type="containsText" dxfId="16" priority="1" operator="containsText" text="REVIEW">
      <formula>NOT(ISERROR(SEARCH(("REVIEW"),(F37))))</formula>
    </cfRule>
  </conditionalFormatting>
  <conditionalFormatting sqref="F37:F41">
    <cfRule type="containsText" dxfId="17" priority="2" operator="containsText" text="PASS">
      <formula>NOT(ISERROR(SEARCH(("PASS"),(F37))))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526E"/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14.25"/>
    <col customWidth="1" min="3" max="3" width="15.63"/>
    <col customWidth="1" min="4" max="4" width="20.63"/>
    <col customWidth="1" min="5" max="5" width="12.5"/>
    <col customWidth="1" min="6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>
        <v>46023.0</v>
      </c>
      <c r="C2" s="3">
        <v>46054.0</v>
      </c>
      <c r="D2" s="3">
        <v>46082.0</v>
      </c>
      <c r="E2" s="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2</v>
      </c>
      <c r="B4" s="5"/>
      <c r="C4" s="5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</v>
      </c>
      <c r="B5" s="6">
        <f>SUMIFS(Transactions!$I$2:$I$54,Transactions!$C$2:$C$54,B$2,Transactions!$G$2:$G$54,$A5)</f>
        <v>1450</v>
      </c>
      <c r="C5" s="6">
        <f>SUMIFS(Transactions!$I$2:$I$54,Transactions!$C$2:$C$54,C$2,Transactions!$G$2:$G$54,$A5)</f>
        <v>1580</v>
      </c>
      <c r="D5" s="6">
        <f>SUMIFS(Transactions!$I$2:$I$54,Transactions!$C$2:$C$54,D$2,Transactions!$G$2:$G$54,$A5)</f>
        <v>1710</v>
      </c>
      <c r="E5" s="6">
        <f t="shared" ref="E5:E10" si="1">SUM(B5:D5)</f>
        <v>4740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</v>
      </c>
      <c r="B6" s="6">
        <f>SUMIFS(Transactions!$I$2:$I$54,Transactions!$C$2:$C$54,B$2,Transactions!$G$2:$G$54,$A6)</f>
        <v>380</v>
      </c>
      <c r="C6" s="6">
        <f>SUMIFS(Transactions!$I$2:$I$54,Transactions!$C$2:$C$54,C$2,Transactions!$G$2:$G$54,$A6)</f>
        <v>445</v>
      </c>
      <c r="D6" s="6">
        <f>SUMIFS(Transactions!$I$2:$I$54,Transactions!$C$2:$C$54,D$2,Transactions!$G$2:$G$54,$A6)</f>
        <v>510</v>
      </c>
      <c r="E6" s="6">
        <f t="shared" si="1"/>
        <v>1335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26</v>
      </c>
      <c r="B7" s="6">
        <f>SUMIFS(Transactions!$I$2:$I$54,Transactions!$C$2:$C$54,B$2,Transactions!$G$2:$G$54,$A7)</f>
        <v>1200</v>
      </c>
      <c r="C7" s="6">
        <f>SUMIFS(Transactions!$I$2:$I$54,Transactions!$C$2:$C$54,C$2,Transactions!$G$2:$G$54,$A7)</f>
        <v>1500</v>
      </c>
      <c r="D7" s="6">
        <f>SUMIFS(Transactions!$I$2:$I$54,Transactions!$C$2:$C$54,D$2,Transactions!$G$2:$G$54,$A7)</f>
        <v>1850</v>
      </c>
      <c r="E7" s="6">
        <f t="shared" si="1"/>
        <v>4550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39</v>
      </c>
      <c r="B8" s="6">
        <f>SUMIFS(Transactions!$I$2:$I$54,Transactions!$C$2:$C$54,B$2,Transactions!$G$2:$G$54,$A8)</f>
        <v>640</v>
      </c>
      <c r="C8" s="6">
        <f>SUMIFS(Transactions!$I$2:$I$54,Transactions!$C$2:$C$54,C$2,Transactions!$G$2:$G$54,$A8)</f>
        <v>720</v>
      </c>
      <c r="D8" s="6">
        <f>SUMIFS(Transactions!$I$2:$I$54,Transactions!$C$2:$C$54,D$2,Transactions!$G$2:$G$54,$A8)</f>
        <v>790</v>
      </c>
      <c r="E8" s="6">
        <f t="shared" si="1"/>
        <v>2150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43</v>
      </c>
      <c r="B9" s="6">
        <f>SUMIFS(Transactions!$I$2:$I$54,Transactions!$C$2:$C$54,B$2,Transactions!$G$2:$G$54,$A9)</f>
        <v>115</v>
      </c>
      <c r="C9" s="6">
        <f>SUMIFS(Transactions!$I$2:$I$54,Transactions!$C$2:$C$54,C$2,Transactions!$G$2:$G$54,$A9)</f>
        <v>132</v>
      </c>
      <c r="D9" s="6">
        <f>SUMIFS(Transactions!$I$2:$I$54,Transactions!$C$2:$C$54,D$2,Transactions!$G$2:$G$54,$A9)</f>
        <v>148</v>
      </c>
      <c r="E9" s="6">
        <f t="shared" si="1"/>
        <v>395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47</v>
      </c>
      <c r="B10" s="6">
        <f>SUMIFS(Transactions!$I$2:$I$54,Transactions!$C$2:$C$54,B$2,Transactions!$G$2:$G$54,$A10)</f>
        <v>210</v>
      </c>
      <c r="C10" s="6">
        <f>SUMIFS(Transactions!$I$2:$I$54,Transactions!$C$2:$C$54,C$2,Transactions!$G$2:$G$54,$A10)</f>
        <v>245</v>
      </c>
      <c r="D10" s="6">
        <f>SUMIFS(Transactions!$I$2:$I$54,Transactions!$C$2:$C$54,D$2,Transactions!$G$2:$G$54,$A10)</f>
        <v>265</v>
      </c>
      <c r="E10" s="6">
        <f t="shared" si="1"/>
        <v>720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8" t="s">
        <v>51</v>
      </c>
      <c r="B11" s="29">
        <f t="shared" ref="B11:E11" si="2">SUM(B5:B10)</f>
        <v>3995</v>
      </c>
      <c r="C11" s="29">
        <f t="shared" si="2"/>
        <v>4622</v>
      </c>
      <c r="D11" s="29">
        <f t="shared" si="2"/>
        <v>5273</v>
      </c>
      <c r="E11" s="29">
        <f t="shared" si="2"/>
        <v>13890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/>
      <c r="C12" s="6"/>
      <c r="D12" s="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58</v>
      </c>
      <c r="B13" s="33"/>
      <c r="C13" s="33"/>
      <c r="D13" s="33"/>
      <c r="E13" s="3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53</v>
      </c>
      <c r="B14" s="6">
        <f>SUMIFS(Transactions!$J$2:$J$54,Transactions!$C$2:$C$54,B$2,Transactions!$G$2:$G$54,$A14)</f>
        <v>210</v>
      </c>
      <c r="C14" s="6">
        <f>SUMIFS(Transactions!$J$2:$J$54,Transactions!$C$2:$C$54,C$2,Transactions!$G$2:$G$54,$A14)</f>
        <v>230</v>
      </c>
      <c r="D14" s="6">
        <f>SUMIFS(Transactions!$J$2:$J$54,Transactions!$C$2:$C$54,D$2,Transactions!$G$2:$G$54,$A14)</f>
        <v>240</v>
      </c>
      <c r="E14" s="6">
        <f t="shared" ref="E14:E23" si="3">SUM(B14:D14)</f>
        <v>680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65</v>
      </c>
      <c r="B15" s="6">
        <f>SUMIFS(Transactions!$J$2:$J$54,Transactions!$C$2:$C$54,B$2,Transactions!$G$2:$G$54,$A15)</f>
        <v>18</v>
      </c>
      <c r="C15" s="6">
        <f>SUMIFS(Transactions!$J$2:$J$54,Transactions!$C$2:$C$54,C$2,Transactions!$G$2:$G$54,$A15)</f>
        <v>22</v>
      </c>
      <c r="D15" s="6">
        <f>SUMIFS(Transactions!$J$2:$J$54,Transactions!$C$2:$C$54,D$2,Transactions!$G$2:$G$54,$A15)</f>
        <v>26</v>
      </c>
      <c r="E15" s="6">
        <f t="shared" si="3"/>
        <v>66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32</v>
      </c>
      <c r="B16" s="6">
        <f>SUMIFS(Transactions!$J$2:$J$54,Transactions!$C$2:$C$54,B$2,Transactions!$G$2:$G$54,$A16)</f>
        <v>99</v>
      </c>
      <c r="C16" s="6">
        <f>SUMIFS(Transactions!$J$2:$J$54,Transactions!$C$2:$C$54,C$2,Transactions!$G$2:$G$54,$A16)</f>
        <v>99</v>
      </c>
      <c r="D16" s="6">
        <f>SUMIFS(Transactions!$J$2:$J$54,Transactions!$C$2:$C$54,D$2,Transactions!$G$2:$G$54,$A16)</f>
        <v>99</v>
      </c>
      <c r="E16" s="6">
        <f t="shared" si="3"/>
        <v>297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70</v>
      </c>
      <c r="B17" s="6">
        <f>SUMIFS(Transactions!$J$2:$J$54,Transactions!$C$2:$C$54,B$2,Transactions!$G$2:$G$54,$A17)</f>
        <v>520</v>
      </c>
      <c r="C17" s="6">
        <f>SUMIFS(Transactions!$J$2:$J$54,Transactions!$C$2:$C$54,C$2,Transactions!$G$2:$G$54,$A17)</f>
        <v>0</v>
      </c>
      <c r="D17" s="6">
        <f>SUMIFS(Transactions!$J$2:$J$54,Transactions!$C$2:$C$54,D$2,Transactions!$G$2:$G$54,$A17)</f>
        <v>680</v>
      </c>
      <c r="E17" s="6">
        <f t="shared" si="3"/>
        <v>1200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73</v>
      </c>
      <c r="B18" s="6">
        <f>SUMIFS(Transactions!$J$2:$J$54,Transactions!$C$2:$C$54,B$2,Transactions!$G$2:$G$54,$A18)</f>
        <v>95</v>
      </c>
      <c r="C18" s="6">
        <f>SUMIFS(Transactions!$J$2:$J$54,Transactions!$C$2:$C$54,C$2,Transactions!$G$2:$G$54,$A18)</f>
        <v>110</v>
      </c>
      <c r="D18" s="6">
        <f>SUMIFS(Transactions!$J$2:$J$54,Transactions!$C$2:$C$54,D$2,Transactions!$G$2:$G$54,$A18)</f>
        <v>130</v>
      </c>
      <c r="E18" s="6">
        <f t="shared" si="3"/>
        <v>335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77</v>
      </c>
      <c r="B19" s="6">
        <f>SUMIFS(Transactions!$J$2:$J$54,Transactions!$C$2:$C$54,B$2,Transactions!$G$2:$G$54,$A19)</f>
        <v>120</v>
      </c>
      <c r="C19" s="6">
        <f>SUMIFS(Transactions!$J$2:$J$54,Transactions!$C$2:$C$54,C$2,Transactions!$G$2:$G$54,$A19)</f>
        <v>120</v>
      </c>
      <c r="D19" s="6">
        <f>SUMIFS(Transactions!$J$2:$J$54,Transactions!$C$2:$C$54,D$2,Transactions!$G$2:$G$54,$A19)</f>
        <v>120</v>
      </c>
      <c r="E19" s="6">
        <f t="shared" si="3"/>
        <v>360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79</v>
      </c>
      <c r="B20" s="6">
        <f>SUMIFS(Transactions!$J$2:$J$54,Transactions!$C$2:$C$54,B$2,Transactions!$G$2:$G$54,$A20)</f>
        <v>350</v>
      </c>
      <c r="C20" s="6">
        <f>SUMIFS(Transactions!$J$2:$J$54,Transactions!$C$2:$C$54,C$2,Transactions!$G$2:$G$54,$A20)</f>
        <v>425</v>
      </c>
      <c r="D20" s="6">
        <f>SUMIFS(Transactions!$J$2:$J$54,Transactions!$C$2:$C$54,D$2,Transactions!$G$2:$G$54,$A20)</f>
        <v>475</v>
      </c>
      <c r="E20" s="6">
        <f t="shared" si="3"/>
        <v>1250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83</v>
      </c>
      <c r="B21" s="6">
        <f>SUMIFS(Transactions!$J$2:$J$54,Transactions!$C$2:$C$54,B$2,Transactions!$G$2:$G$54,$A21)</f>
        <v>62</v>
      </c>
      <c r="C21" s="6">
        <f>SUMIFS(Transactions!$J$2:$J$54,Transactions!$C$2:$C$54,C$2,Transactions!$G$2:$G$54,$A21)</f>
        <v>78</v>
      </c>
      <c r="D21" s="6">
        <f>SUMIFS(Transactions!$J$2:$J$54,Transactions!$C$2:$C$54,D$2,Transactions!$G$2:$G$54,$A21)</f>
        <v>92</v>
      </c>
      <c r="E21" s="6">
        <f t="shared" si="3"/>
        <v>232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89</v>
      </c>
      <c r="B22" s="6">
        <f>SUMIFS(Transactions!$J$2:$J$54,Transactions!$C$2:$C$54,B$2,Transactions!$G$2:$G$54,$A22)</f>
        <v>44</v>
      </c>
      <c r="C22" s="6">
        <f>SUMIFS(Transactions!$J$2:$J$54,Transactions!$C$2:$C$54,C$2,Transactions!$G$2:$G$54,$A22)</f>
        <v>38</v>
      </c>
      <c r="D22" s="6">
        <f>SUMIFS(Transactions!$J$2:$J$54,Transactions!$C$2:$C$54,D$2,Transactions!$G$2:$G$54,$A22)</f>
        <v>51</v>
      </c>
      <c r="E22" s="6">
        <f t="shared" si="3"/>
        <v>133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93</v>
      </c>
      <c r="B23" s="6">
        <f>SUMIFS(Transactions!$J$2:$J$54,Transactions!$C$2:$C$54,B$2,Transactions!$G$2:$G$54,$A23)</f>
        <v>48</v>
      </c>
      <c r="C23" s="6">
        <f>SUMIFS(Transactions!$J$2:$J$54,Transactions!$C$2:$C$54,C$2,Transactions!$G$2:$G$54,$A23)</f>
        <v>35</v>
      </c>
      <c r="D23" s="6">
        <f>SUMIFS(Transactions!$J$2:$J$54,Transactions!$C$2:$C$54,D$2,Transactions!$G$2:$G$54,$A23)</f>
        <v>57</v>
      </c>
      <c r="E23" s="6">
        <f t="shared" si="3"/>
        <v>140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8" t="s">
        <v>54</v>
      </c>
      <c r="B24" s="29">
        <f t="shared" ref="B24:E24" si="4">SUM(B14:B23)</f>
        <v>1566</v>
      </c>
      <c r="C24" s="29">
        <f t="shared" si="4"/>
        <v>1157</v>
      </c>
      <c r="D24" s="29">
        <f t="shared" si="4"/>
        <v>1970</v>
      </c>
      <c r="E24" s="29">
        <f t="shared" si="4"/>
        <v>4693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6"/>
      <c r="C25" s="6"/>
      <c r="D25" s="6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8" t="s">
        <v>55</v>
      </c>
      <c r="B26" s="51">
        <f t="shared" ref="B26:E26" si="5">B11-B24</f>
        <v>2429</v>
      </c>
      <c r="C26" s="51">
        <f t="shared" si="5"/>
        <v>3465</v>
      </c>
      <c r="D26" s="51">
        <f t="shared" si="5"/>
        <v>3303</v>
      </c>
      <c r="E26" s="51">
        <f t="shared" si="5"/>
        <v>9197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56</v>
      </c>
      <c r="B27" s="55">
        <f t="shared" ref="B27:E27" si="6">IFERROR(B26/B11,0)</f>
        <v>0.6080100125</v>
      </c>
      <c r="C27" s="55">
        <f t="shared" si="6"/>
        <v>0.7496754652</v>
      </c>
      <c r="D27" s="55">
        <f t="shared" si="6"/>
        <v>0.6263986346</v>
      </c>
      <c r="E27" s="55">
        <f t="shared" si="6"/>
        <v>0.6621310295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 t="s">
        <v>0</v>
      </c>
      <c r="B32" s="3">
        <v>46113.0</v>
      </c>
      <c r="C32" s="3">
        <v>46143.0</v>
      </c>
      <c r="D32" s="3">
        <v>46174.0</v>
      </c>
      <c r="E32" s="57" t="s">
        <v>106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5" t="s">
        <v>2</v>
      </c>
      <c r="B34" s="5"/>
      <c r="C34" s="5"/>
      <c r="D34" s="5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3</v>
      </c>
      <c r="B35" s="6">
        <f>SUMIFS(Transactions!$I:$I,Transactions!$C:$C,B$32,Transactions!$G:$G,$A35)</f>
        <v>1765</v>
      </c>
      <c r="C35" s="6">
        <f>SUMIFS(Transactions!$I:$I,Transactions!$C:$C,C$32,Transactions!$G:$G,$A35)</f>
        <v>1840</v>
      </c>
      <c r="D35" s="6">
        <f>SUMIFS(Transactions!$I:$I,Transactions!$C:$C,D$32,Transactions!$G:$G,$A35)</f>
        <v>1925</v>
      </c>
      <c r="E35" s="6">
        <f t="shared" ref="E35:E40" si="7">SUM(B35:D35)</f>
        <v>5530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15</v>
      </c>
      <c r="B36" s="6">
        <f>SUMIFS(Transactions!$I:$I,Transactions!$C:$C,B$32,Transactions!$G:$G,$A36)</f>
        <v>535</v>
      </c>
      <c r="C36" s="6">
        <f>SUMIFS(Transactions!$I:$I,Transactions!$C:$C,C$32,Transactions!$G:$G,$A36)</f>
        <v>490</v>
      </c>
      <c r="D36" s="6">
        <f>SUMIFS(Transactions!$I:$I,Transactions!$C:$C,D$32,Transactions!$G:$G,$A36)</f>
        <v>560</v>
      </c>
      <c r="E36" s="6">
        <f t="shared" si="7"/>
        <v>1585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26</v>
      </c>
      <c r="B37" s="6">
        <f>SUMIFS(Transactions!$I:$I,Transactions!$C:$C,B$32,Transactions!$G:$G,$A37)</f>
        <v>2000</v>
      </c>
      <c r="C37" s="6">
        <f>SUMIFS(Transactions!$I:$I,Transactions!$C:$C,C$32,Transactions!$G:$G,$A37)</f>
        <v>2150</v>
      </c>
      <c r="D37" s="6">
        <f>SUMIFS(Transactions!$I:$I,Transactions!$C:$C,D$32,Transactions!$G:$G,$A37)</f>
        <v>2250</v>
      </c>
      <c r="E37" s="6">
        <f t="shared" si="7"/>
        <v>6400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39</v>
      </c>
      <c r="B38" s="6">
        <f>SUMIFS(Transactions!$I:$I,Transactions!$C:$C,B$32,Transactions!$G:$G,$A38)</f>
        <v>825</v>
      </c>
      <c r="C38" s="6">
        <f>SUMIFS(Transactions!$I:$I,Transactions!$C:$C,C$32,Transactions!$G:$G,$A38)</f>
        <v>870</v>
      </c>
      <c r="D38" s="6">
        <f>SUMIFS(Transactions!$I:$I,Transactions!$C:$C,D$32,Transactions!$G:$G,$A38)</f>
        <v>910</v>
      </c>
      <c r="E38" s="6">
        <f t="shared" si="7"/>
        <v>2605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43</v>
      </c>
      <c r="B39" s="6">
        <f>SUMIFS(Transactions!$I:$I,Transactions!$C:$C,B$32,Transactions!$G:$G,$A39)</f>
        <v>156</v>
      </c>
      <c r="C39" s="6">
        <f>SUMIFS(Transactions!$I:$I,Transactions!$C:$C,C$32,Transactions!$G:$G,$A39)</f>
        <v>164</v>
      </c>
      <c r="D39" s="6">
        <f>SUMIFS(Transactions!$I:$I,Transactions!$C:$C,D$32,Transactions!$G:$G,$A39)</f>
        <v>172</v>
      </c>
      <c r="E39" s="6">
        <f t="shared" si="7"/>
        <v>492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47</v>
      </c>
      <c r="B40" s="6">
        <f>SUMIFS(Transactions!$I:$I,Transactions!$C:$C,B$32,Transactions!$G:$G,$A40)</f>
        <v>280</v>
      </c>
      <c r="C40" s="6">
        <f>SUMIFS(Transactions!$I:$I,Transactions!$C:$C,C$32,Transactions!$G:$G,$A40)</f>
        <v>295</v>
      </c>
      <c r="D40" s="6">
        <f>SUMIFS(Transactions!$I:$I,Transactions!$C:$C,D$32,Transactions!$G:$G,$A40)</f>
        <v>310</v>
      </c>
      <c r="E40" s="6">
        <f t="shared" si="7"/>
        <v>885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8" t="s">
        <v>51</v>
      </c>
      <c r="B41" s="29">
        <f t="shared" ref="B41:E41" si="8">SUM(B35:B40)</f>
        <v>5561</v>
      </c>
      <c r="C41" s="29">
        <f t="shared" si="8"/>
        <v>5809</v>
      </c>
      <c r="D41" s="29">
        <f t="shared" si="8"/>
        <v>6127</v>
      </c>
      <c r="E41" s="29">
        <f t="shared" si="8"/>
        <v>17497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6"/>
      <c r="C42" s="6"/>
      <c r="D42" s="6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" t="s">
        <v>58</v>
      </c>
      <c r="B43" s="33"/>
      <c r="C43" s="33"/>
      <c r="D43" s="33"/>
      <c r="E43" s="3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53</v>
      </c>
      <c r="B44" s="6">
        <f>SUMIFS(Transactions!$J:$J,Transactions!$C:$C,B$32,Transactions!$G:$G,$A44)</f>
        <v>248</v>
      </c>
      <c r="C44" s="6">
        <f>SUMIFS(Transactions!$J:$J,Transactions!$C:$C,C$32,Transactions!$G:$G,$A44)</f>
        <v>258</v>
      </c>
      <c r="D44" s="6">
        <f>SUMIFS(Transactions!$J:$J,Transactions!$C:$C,D$32,Transactions!$G:$G,$A44)</f>
        <v>270</v>
      </c>
      <c r="E44" s="6">
        <f t="shared" ref="E44:E53" si="9">SUM(B44:D44)</f>
        <v>776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65</v>
      </c>
      <c r="B45" s="6">
        <f>SUMIFS(Transactions!$J:$J,Transactions!$C:$C,B$32,Transactions!$G:$G,$A45)</f>
        <v>27</v>
      </c>
      <c r="C45" s="6">
        <f>SUMIFS(Transactions!$J:$J,Transactions!$C:$C,C$32,Transactions!$G:$G,$A45)</f>
        <v>29</v>
      </c>
      <c r="D45" s="6">
        <f>SUMIFS(Transactions!$J:$J,Transactions!$C:$C,D$32,Transactions!$G:$G,$A45)</f>
        <v>31</v>
      </c>
      <c r="E45" s="6">
        <f t="shared" si="9"/>
        <v>87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32</v>
      </c>
      <c r="B46" s="6">
        <f>SUMIFS(Transactions!$J:$J,Transactions!$C:$C,B$32,Transactions!$G:$G,$A46)</f>
        <v>99</v>
      </c>
      <c r="C46" s="6">
        <f>SUMIFS(Transactions!$J:$J,Transactions!$C:$C,C$32,Transactions!$G:$G,$A46)</f>
        <v>84</v>
      </c>
      <c r="D46" s="6">
        <f>SUMIFS(Transactions!$J:$J,Transactions!$C:$C,D$32,Transactions!$G:$G,$A46)</f>
        <v>70</v>
      </c>
      <c r="E46" s="6">
        <f t="shared" si="9"/>
        <v>253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70</v>
      </c>
      <c r="B47" s="6">
        <f>SUMIFS(Transactions!$J:$J,Transactions!$C:$C,B$32,Transactions!$G:$G,$A47)</f>
        <v>740</v>
      </c>
      <c r="C47" s="6">
        <f>SUMIFS(Transactions!$J:$J,Transactions!$C:$C,C$32,Transactions!$G:$G,$A47)</f>
        <v>0</v>
      </c>
      <c r="D47" s="6">
        <f>SUMIFS(Transactions!$J:$J,Transactions!$C:$C,D$32,Transactions!$G:$G,$A47)</f>
        <v>0</v>
      </c>
      <c r="E47" s="6">
        <f t="shared" si="9"/>
        <v>740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73</v>
      </c>
      <c r="B48" s="6">
        <f>SUMIFS(Transactions!$J:$J,Transactions!$C:$C,B$32,Transactions!$G:$G,$A48)</f>
        <v>135</v>
      </c>
      <c r="C48" s="6">
        <f>SUMIFS(Transactions!$J:$J,Transactions!$C:$C,C$32,Transactions!$G:$G,$A48)</f>
        <v>0</v>
      </c>
      <c r="D48" s="6">
        <f>SUMIFS(Transactions!$J:$J,Transactions!$C:$C,D$32,Transactions!$G:$G,$A48)</f>
        <v>145</v>
      </c>
      <c r="E48" s="6">
        <f t="shared" si="9"/>
        <v>280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77</v>
      </c>
      <c r="B49" s="6">
        <f>SUMIFS(Transactions!$J:$J,Transactions!$C:$C,B$32,Transactions!$G:$G,$A49)</f>
        <v>120</v>
      </c>
      <c r="C49" s="6">
        <f>SUMIFS(Transactions!$J:$J,Transactions!$C:$C,C$32,Transactions!$G:$G,$A49)</f>
        <v>120</v>
      </c>
      <c r="D49" s="6">
        <f>SUMIFS(Transactions!$J:$J,Transactions!$C:$C,D$32,Transactions!$G:$G,$A49)</f>
        <v>0</v>
      </c>
      <c r="E49" s="6">
        <f t="shared" si="9"/>
        <v>240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79</v>
      </c>
      <c r="B50" s="6">
        <f>SUMIFS(Transactions!$J:$J,Transactions!$C:$C,B$32,Transactions!$G:$G,$A50)</f>
        <v>495</v>
      </c>
      <c r="C50" s="6">
        <f>SUMIFS(Transactions!$J:$J,Transactions!$C:$C,C$32,Transactions!$G:$G,$A50)</f>
        <v>510</v>
      </c>
      <c r="D50" s="6">
        <f>SUMIFS(Transactions!$J:$J,Transactions!$C:$C,D$32,Transactions!$G:$G,$A50)</f>
        <v>0</v>
      </c>
      <c r="E50" s="6">
        <f t="shared" si="9"/>
        <v>1005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83</v>
      </c>
      <c r="B51" s="6">
        <f>SUMIFS(Transactions!$J:$J,Transactions!$C:$C,B$32,Transactions!$G:$G,$A51)</f>
        <v>105</v>
      </c>
      <c r="C51" s="6">
        <f>SUMIFS(Transactions!$J:$J,Transactions!$C:$C,C$32,Transactions!$G:$G,$A51)</f>
        <v>0</v>
      </c>
      <c r="D51" s="6">
        <f>SUMIFS(Transactions!$J:$J,Transactions!$C:$C,D$32,Transactions!$G:$G,$A51)</f>
        <v>110</v>
      </c>
      <c r="E51" s="6">
        <f t="shared" si="9"/>
        <v>215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89</v>
      </c>
      <c r="B52" s="6">
        <f>SUMIFS(Transactions!$J:$J,Transactions!$C:$C,B$32,Transactions!$G:$G,$A52)</f>
        <v>60</v>
      </c>
      <c r="C52" s="6">
        <f>SUMIFS(Transactions!$J:$J,Transactions!$C:$C,C$32,Transactions!$G:$G,$A52)</f>
        <v>0</v>
      </c>
      <c r="D52" s="6">
        <f>SUMIFS(Transactions!$J:$J,Transactions!$C:$C,D$32,Transactions!$G:$G,$A52)</f>
        <v>0</v>
      </c>
      <c r="E52" s="6">
        <f t="shared" si="9"/>
        <v>60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93</v>
      </c>
      <c r="B53" s="6">
        <f>SUMIFS(Transactions!$J:$J,Transactions!$C:$C,B$32,Transactions!$G:$G,$A53)</f>
        <v>55</v>
      </c>
      <c r="C53" s="6">
        <f>SUMIFS(Transactions!$J:$J,Transactions!$C:$C,C$32,Transactions!$G:$G,$A53)</f>
        <v>0</v>
      </c>
      <c r="D53" s="6">
        <f>SUMIFS(Transactions!$J:$J,Transactions!$C:$C,D$32,Transactions!$G:$G,$A53)</f>
        <v>0</v>
      </c>
      <c r="E53" s="6">
        <f t="shared" si="9"/>
        <v>55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8" t="s">
        <v>54</v>
      </c>
      <c r="B54" s="29">
        <f t="shared" ref="B54:E54" si="10">SUM(B44:B53)</f>
        <v>2084</v>
      </c>
      <c r="C54" s="29">
        <f t="shared" si="10"/>
        <v>1001</v>
      </c>
      <c r="D54" s="29">
        <f t="shared" si="10"/>
        <v>626</v>
      </c>
      <c r="E54" s="29">
        <f t="shared" si="10"/>
        <v>3711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"/>
      <c r="C55" s="6"/>
      <c r="D55" s="6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8" t="s">
        <v>55</v>
      </c>
      <c r="B56" s="51">
        <f t="shared" ref="B56:E56" si="11">B41-B54</f>
        <v>3477</v>
      </c>
      <c r="C56" s="51">
        <f t="shared" si="11"/>
        <v>4808</v>
      </c>
      <c r="D56" s="51">
        <f t="shared" si="11"/>
        <v>5501</v>
      </c>
      <c r="E56" s="51">
        <f t="shared" si="11"/>
        <v>13786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56</v>
      </c>
      <c r="B57" s="55">
        <f t="shared" ref="B57:E57" si="12">IFERROR(B56/B41,0)</f>
        <v>0.6252472577</v>
      </c>
      <c r="C57" s="55">
        <f t="shared" si="12"/>
        <v>0.8276811844</v>
      </c>
      <c r="D57" s="55">
        <f t="shared" si="12"/>
        <v>0.8978292802</v>
      </c>
      <c r="E57" s="55">
        <f t="shared" si="12"/>
        <v>0.7879064983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64"/>
      <c r="B60" s="64"/>
      <c r="C60" s="64"/>
      <c r="D60" s="64"/>
      <c r="E60" s="64"/>
      <c r="F60" s="64"/>
      <c r="G60" s="6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65" t="s">
        <v>0</v>
      </c>
      <c r="B61" s="66">
        <v>46204.0</v>
      </c>
      <c r="C61" s="66">
        <v>46235.0</v>
      </c>
      <c r="D61" s="66">
        <v>46266.0</v>
      </c>
      <c r="E61" s="67" t="s">
        <v>158</v>
      </c>
      <c r="F61" s="64"/>
      <c r="G61" s="6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64"/>
      <c r="B62" s="64"/>
      <c r="C62" s="64"/>
      <c r="D62" s="64"/>
      <c r="E62" s="64"/>
      <c r="F62" s="64"/>
      <c r="G62" s="6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68" t="s">
        <v>2</v>
      </c>
      <c r="B63" s="69"/>
      <c r="C63" s="69"/>
      <c r="D63" s="69"/>
      <c r="E63" s="69"/>
      <c r="F63" s="64"/>
      <c r="G63" s="6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70" t="s">
        <v>3</v>
      </c>
      <c r="B64" s="71">
        <f>SUMIFS(Transactions!$I:$I,Transactions!$C:$C,B$61,Transactions!$G:$G,$A64)</f>
        <v>2050</v>
      </c>
      <c r="C64" s="71">
        <f>SUMIFS(Transactions!$I:$I,Transactions!$C:$C,C$61,Transactions!$G:$G,$A64)</f>
        <v>2180</v>
      </c>
      <c r="D64" s="71">
        <f>SUMIFS(Transactions!$I:$I,Transactions!$C:$C,D$61,Transactions!$G:$G,$A64)</f>
        <v>2310</v>
      </c>
      <c r="E64" s="71">
        <f t="shared" ref="E64:E69" si="13">SUM(B64:D64)</f>
        <v>6540</v>
      </c>
      <c r="F64" s="64"/>
      <c r="G64" s="6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70" t="s">
        <v>15</v>
      </c>
      <c r="B65" s="71">
        <f>SUMIFS(Transactions!$I:$I,Transactions!$C:$C,B$61,Transactions!$G:$G,$A65)</f>
        <v>610</v>
      </c>
      <c r="C65" s="71">
        <f>SUMIFS(Transactions!$I:$I,Transactions!$C:$C,C$61,Transactions!$G:$G,$A65)</f>
        <v>645</v>
      </c>
      <c r="D65" s="71">
        <f>SUMIFS(Transactions!$I:$I,Transactions!$C:$C,D$61,Transactions!$G:$G,$A65)</f>
        <v>680</v>
      </c>
      <c r="E65" s="71">
        <f t="shared" si="13"/>
        <v>1935</v>
      </c>
      <c r="F65" s="64"/>
      <c r="G65" s="6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70" t="s">
        <v>26</v>
      </c>
      <c r="B66" s="71">
        <f>SUMIFS(Transactions!$I:$I,Transactions!$C:$C,B$61,Transactions!$G:$G,$A66)</f>
        <v>2400</v>
      </c>
      <c r="C66" s="71">
        <f>SUMIFS(Transactions!$I:$I,Transactions!$C:$C,C$61,Transactions!$G:$G,$A66)</f>
        <v>2550</v>
      </c>
      <c r="D66" s="71">
        <f>SUMIFS(Transactions!$I:$I,Transactions!$C:$C,D$61,Transactions!$G:$G,$A66)</f>
        <v>2700</v>
      </c>
      <c r="E66" s="71">
        <f t="shared" si="13"/>
        <v>7650</v>
      </c>
      <c r="F66" s="64"/>
      <c r="G66" s="6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70" t="s">
        <v>39</v>
      </c>
      <c r="B67" s="71">
        <f>SUMIFS(Transactions!$I:$I,Transactions!$C:$C,B$61,Transactions!$G:$G,$A67)</f>
        <v>960</v>
      </c>
      <c r="C67" s="71">
        <f>SUMIFS(Transactions!$I:$I,Transactions!$C:$C,C$61,Transactions!$G:$G,$A67)</f>
        <v>1025</v>
      </c>
      <c r="D67" s="71">
        <f>SUMIFS(Transactions!$I:$I,Transactions!$C:$C,D$61,Transactions!$G:$G,$A67)</f>
        <v>1090</v>
      </c>
      <c r="E67" s="71">
        <f t="shared" si="13"/>
        <v>3075</v>
      </c>
      <c r="F67" s="64"/>
      <c r="G67" s="6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70" t="s">
        <v>43</v>
      </c>
      <c r="B68" s="71">
        <f>SUMIFS(Transactions!$I:$I,Transactions!$C:$C,B$61,Transactions!$G:$G,$A68)</f>
        <v>180</v>
      </c>
      <c r="C68" s="71">
        <f>SUMIFS(Transactions!$I:$I,Transactions!$C:$C,C$61,Transactions!$G:$G,$A68)</f>
        <v>195</v>
      </c>
      <c r="D68" s="71">
        <f>SUMIFS(Transactions!$I:$I,Transactions!$C:$C,D$61,Transactions!$G:$G,$A68)</f>
        <v>205</v>
      </c>
      <c r="E68" s="71">
        <f t="shared" si="13"/>
        <v>580</v>
      </c>
      <c r="F68" s="64"/>
      <c r="G68" s="6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70" t="s">
        <v>47</v>
      </c>
      <c r="B69" s="71">
        <f>SUMIFS(Transactions!$I:$I,Transactions!$C:$C,B$61,Transactions!$G:$G,$A69)</f>
        <v>335</v>
      </c>
      <c r="C69" s="71">
        <f>SUMIFS(Transactions!$I:$I,Transactions!$C:$C,C$61,Transactions!$G:$G,$A69)</f>
        <v>360</v>
      </c>
      <c r="D69" s="71">
        <f>SUMIFS(Transactions!$I:$I,Transactions!$C:$C,D$61,Transactions!$G:$G,$A69)</f>
        <v>385</v>
      </c>
      <c r="E69" s="71">
        <f t="shared" si="13"/>
        <v>1080</v>
      </c>
      <c r="F69" s="64"/>
      <c r="G69" s="6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72" t="s">
        <v>51</v>
      </c>
      <c r="B70" s="73">
        <f t="shared" ref="B70:E70" si="14">SUM(B64:B69)</f>
        <v>6535</v>
      </c>
      <c r="C70" s="73">
        <f t="shared" si="14"/>
        <v>6955</v>
      </c>
      <c r="D70" s="73">
        <f t="shared" si="14"/>
        <v>7370</v>
      </c>
      <c r="E70" s="73">
        <f t="shared" si="14"/>
        <v>20860</v>
      </c>
      <c r="F70" s="64"/>
      <c r="G70" s="6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4"/>
      <c r="B71" s="74"/>
      <c r="C71" s="74"/>
      <c r="D71" s="74"/>
      <c r="E71" s="74"/>
      <c r="F71" s="64"/>
      <c r="G71" s="6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68" t="s">
        <v>58</v>
      </c>
      <c r="B72" s="75"/>
      <c r="C72" s="75"/>
      <c r="D72" s="75"/>
      <c r="E72" s="75"/>
      <c r="F72" s="64"/>
      <c r="G72" s="6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70" t="s">
        <v>53</v>
      </c>
      <c r="B73" s="71">
        <f>SUMIFS(Transactions!$J:$J,Transactions!$C:$C,B$61,Transactions!$G:$G,$A73)</f>
        <v>285</v>
      </c>
      <c r="C73" s="71">
        <f>SUMIFS(Transactions!$J:$J,Transactions!$C:$C,C$61,Transactions!$G:$G,$A73)</f>
        <v>300</v>
      </c>
      <c r="D73" s="71">
        <f>SUMIFS(Transactions!$J:$J,Transactions!$C:$C,D$61,Transactions!$G:$G,$A73)</f>
        <v>315</v>
      </c>
      <c r="E73" s="71">
        <f t="shared" ref="E73:E82" si="15">SUM(B73:D73)</f>
        <v>900</v>
      </c>
      <c r="F73" s="64"/>
      <c r="G73" s="6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70" t="s">
        <v>65</v>
      </c>
      <c r="B74" s="71">
        <f>SUMIFS(Transactions!$J:$J,Transactions!$C:$C,B$61,Transactions!$G:$G,$A74)</f>
        <v>34</v>
      </c>
      <c r="C74" s="71">
        <f>SUMIFS(Transactions!$J:$J,Transactions!$C:$C,C$61,Transactions!$G:$G,$A74)</f>
        <v>36</v>
      </c>
      <c r="D74" s="71">
        <f>SUMIFS(Transactions!$J:$J,Transactions!$C:$C,D$61,Transactions!$G:$G,$A74)</f>
        <v>39</v>
      </c>
      <c r="E74" s="71">
        <f t="shared" si="15"/>
        <v>109</v>
      </c>
      <c r="F74" s="64"/>
      <c r="G74" s="6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70" t="s">
        <v>32</v>
      </c>
      <c r="B75" s="71">
        <f>SUMIFS(Transactions!$J:$J,Transactions!$C:$C,B$61,Transactions!$G:$G,$A75)</f>
        <v>84</v>
      </c>
      <c r="C75" s="71">
        <f>SUMIFS(Transactions!$J:$J,Transactions!$C:$C,C$61,Transactions!$G:$G,$A75)</f>
        <v>15</v>
      </c>
      <c r="D75" s="71">
        <f>SUMIFS(Transactions!$J:$J,Transactions!$C:$C,D$61,Transactions!$G:$G,$A75)</f>
        <v>55</v>
      </c>
      <c r="E75" s="71">
        <f t="shared" si="15"/>
        <v>154</v>
      </c>
      <c r="F75" s="64"/>
      <c r="G75" s="6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70" t="s">
        <v>70</v>
      </c>
      <c r="B76" s="71">
        <f>SUMIFS(Transactions!$J:$J,Transactions!$C:$C,B$61,Transactions!$G:$G,$A76)</f>
        <v>0</v>
      </c>
      <c r="C76" s="71">
        <f>SUMIFS(Transactions!$J:$J,Transactions!$C:$C,C$61,Transactions!$G:$G,$A76)</f>
        <v>0</v>
      </c>
      <c r="D76" s="71">
        <f>SUMIFS(Transactions!$J:$J,Transactions!$C:$C,D$61,Transactions!$G:$G,$A76)</f>
        <v>0</v>
      </c>
      <c r="E76" s="71">
        <f t="shared" si="15"/>
        <v>0</v>
      </c>
      <c r="F76" s="64"/>
      <c r="G76" s="6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70" t="s">
        <v>73</v>
      </c>
      <c r="B77" s="71">
        <f>SUMIFS(Transactions!$J:$J,Transactions!$C:$C,B$61,Transactions!$G:$G,$A77)</f>
        <v>0</v>
      </c>
      <c r="C77" s="71">
        <f>SUMIFS(Transactions!$J:$J,Transactions!$C:$C,C$61,Transactions!$G:$G,$A77)</f>
        <v>155</v>
      </c>
      <c r="D77" s="71">
        <f>SUMIFS(Transactions!$J:$J,Transactions!$C:$C,D$61,Transactions!$G:$G,$A77)</f>
        <v>0</v>
      </c>
      <c r="E77" s="71">
        <f t="shared" si="15"/>
        <v>155</v>
      </c>
      <c r="F77" s="64"/>
      <c r="G77" s="6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70" t="s">
        <v>77</v>
      </c>
      <c r="B78" s="71">
        <f>SUMIFS(Transactions!$J:$J,Transactions!$C:$C,B$61,Transactions!$G:$G,$A78)</f>
        <v>120</v>
      </c>
      <c r="C78" s="71">
        <f>SUMIFS(Transactions!$J:$J,Transactions!$C:$C,C$61,Transactions!$G:$G,$A78)</f>
        <v>0</v>
      </c>
      <c r="D78" s="71">
        <f>SUMIFS(Transactions!$J:$J,Transactions!$C:$C,D$61,Transactions!$G:$G,$A78)</f>
        <v>120</v>
      </c>
      <c r="E78" s="71">
        <f t="shared" si="15"/>
        <v>240</v>
      </c>
      <c r="F78" s="64"/>
      <c r="G78" s="6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70" t="s">
        <v>79</v>
      </c>
      <c r="B79" s="71">
        <f>SUMIFS(Transactions!$J:$J,Transactions!$C:$C,B$61,Transactions!$G:$G,$A79)</f>
        <v>540</v>
      </c>
      <c r="C79" s="71">
        <f>SUMIFS(Transactions!$J:$J,Transactions!$C:$C,C$61,Transactions!$G:$G,$A79)</f>
        <v>0</v>
      </c>
      <c r="D79" s="71">
        <f>SUMIFS(Transactions!$J:$J,Transactions!$C:$C,D$61,Transactions!$G:$G,$A79)</f>
        <v>575</v>
      </c>
      <c r="E79" s="71">
        <f t="shared" si="15"/>
        <v>1115</v>
      </c>
      <c r="F79" s="64"/>
      <c r="G79" s="6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70" t="s">
        <v>83</v>
      </c>
      <c r="B80" s="71">
        <f>SUMIFS(Transactions!$J:$J,Transactions!$C:$C,B$61,Transactions!$G:$G,$A80)</f>
        <v>0</v>
      </c>
      <c r="C80" s="71">
        <f>SUMIFS(Transactions!$J:$J,Transactions!$C:$C,C$61,Transactions!$G:$G,$A80)</f>
        <v>125</v>
      </c>
      <c r="D80" s="71">
        <f>SUMIFS(Transactions!$J:$J,Transactions!$C:$C,D$61,Transactions!$G:$G,$A80)</f>
        <v>0</v>
      </c>
      <c r="E80" s="71">
        <f t="shared" si="15"/>
        <v>125</v>
      </c>
      <c r="F80" s="64"/>
      <c r="G80" s="6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70" t="s">
        <v>89</v>
      </c>
      <c r="B81" s="71">
        <f>SUMIFS(Transactions!$J:$J,Transactions!$C:$C,B$61,Transactions!$G:$G,$A81)</f>
        <v>0</v>
      </c>
      <c r="C81" s="71">
        <f>SUMIFS(Transactions!$J:$J,Transactions!$C:$C,C$61,Transactions!$G:$G,$A81)</f>
        <v>64</v>
      </c>
      <c r="D81" s="71">
        <f>SUMIFS(Transactions!$J:$J,Transactions!$C:$C,D$61,Transactions!$G:$G,$A81)</f>
        <v>0</v>
      </c>
      <c r="E81" s="71">
        <f t="shared" si="15"/>
        <v>64</v>
      </c>
      <c r="F81" s="64"/>
      <c r="G81" s="6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70" t="s">
        <v>93</v>
      </c>
      <c r="B82" s="71">
        <f>SUMIFS(Transactions!$J:$J,Transactions!$C:$C,B$61,Transactions!$G:$G,$A82)</f>
        <v>0</v>
      </c>
      <c r="C82" s="71">
        <f>SUMIFS(Transactions!$J:$J,Transactions!$C:$C,C$61,Transactions!$G:$G,$A82)</f>
        <v>0</v>
      </c>
      <c r="D82" s="71">
        <f>SUMIFS(Transactions!$J:$J,Transactions!$C:$C,D$61,Transactions!$G:$G,$A82)</f>
        <v>68</v>
      </c>
      <c r="E82" s="71">
        <f t="shared" si="15"/>
        <v>68</v>
      </c>
      <c r="F82" s="64"/>
      <c r="G82" s="6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72" t="s">
        <v>54</v>
      </c>
      <c r="B83" s="73">
        <f t="shared" ref="B83:E83" si="16">SUM(B73:B82)</f>
        <v>1063</v>
      </c>
      <c r="C83" s="73">
        <f t="shared" si="16"/>
        <v>695</v>
      </c>
      <c r="D83" s="73">
        <f t="shared" si="16"/>
        <v>1172</v>
      </c>
      <c r="E83" s="73">
        <f t="shared" si="16"/>
        <v>2930</v>
      </c>
      <c r="F83" s="64"/>
      <c r="G83" s="6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4"/>
      <c r="B84" s="74"/>
      <c r="C84" s="74"/>
      <c r="D84" s="74"/>
      <c r="E84" s="74"/>
      <c r="F84" s="64"/>
      <c r="G84" s="6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76" t="s">
        <v>55</v>
      </c>
      <c r="B85" s="77">
        <f t="shared" ref="B85:E85" si="17">B70-B83</f>
        <v>5472</v>
      </c>
      <c r="C85" s="77">
        <f t="shared" si="17"/>
        <v>6260</v>
      </c>
      <c r="D85" s="77">
        <f t="shared" si="17"/>
        <v>6198</v>
      </c>
      <c r="E85" s="77">
        <f t="shared" si="17"/>
        <v>17930</v>
      </c>
      <c r="F85" s="64"/>
      <c r="G85" s="6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70" t="s">
        <v>56</v>
      </c>
      <c r="B86" s="78">
        <f t="shared" ref="B86:E86" si="18">IFERROR(B85/B70,0)</f>
        <v>0.8373374139</v>
      </c>
      <c r="C86" s="78">
        <f t="shared" si="18"/>
        <v>0.9000718907</v>
      </c>
      <c r="D86" s="78">
        <f t="shared" si="18"/>
        <v>0.8409769335</v>
      </c>
      <c r="E86" s="78">
        <f t="shared" si="18"/>
        <v>0.8595397891</v>
      </c>
      <c r="F86" s="64"/>
      <c r="G86" s="6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64"/>
      <c r="B87" s="64"/>
      <c r="C87" s="64"/>
      <c r="D87" s="64"/>
      <c r="E87" s="64"/>
      <c r="F87" s="64"/>
      <c r="G87" s="6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4"/>
      <c r="B88" s="64"/>
      <c r="C88" s="64"/>
      <c r="D88" s="64"/>
      <c r="E88" s="64"/>
      <c r="F88" s="64"/>
      <c r="G88" s="6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64"/>
      <c r="B89" s="64"/>
      <c r="C89" s="64"/>
      <c r="D89" s="64"/>
      <c r="E89" s="64"/>
      <c r="F89" s="64"/>
      <c r="G89" s="6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5" t="s">
        <v>0</v>
      </c>
      <c r="B90" s="79">
        <v>46296.0</v>
      </c>
      <c r="C90" s="79">
        <v>46327.0</v>
      </c>
      <c r="D90" s="79">
        <v>46357.0</v>
      </c>
      <c r="E90" s="67" t="s">
        <v>181</v>
      </c>
      <c r="F90" s="64"/>
      <c r="G90" s="6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64"/>
      <c r="B91" s="64"/>
      <c r="C91" s="64"/>
      <c r="D91" s="64"/>
      <c r="E91" s="64"/>
      <c r="F91" s="64"/>
      <c r="G91" s="6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68" t="s">
        <v>2</v>
      </c>
      <c r="B92" s="69"/>
      <c r="C92" s="69"/>
      <c r="D92" s="69"/>
      <c r="E92" s="69"/>
      <c r="F92" s="64"/>
      <c r="G92" s="6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70" t="s">
        <v>3</v>
      </c>
      <c r="B93" s="71">
        <f>SUMIFS(Transactions!$I:$I,Transactions!$B:$B,"&gt;="&amp;B$90,Transactions!$B:$B,"&lt;"&amp;EDATE(B$90,1),Transactions!$G:$G,$A93)</f>
        <v>2440</v>
      </c>
      <c r="C93" s="71">
        <f>SUMIFS(Transactions!$I:$I,Transactions!$B:$B,"&gt;="&amp;C$90,Transactions!$B:$B,"&lt;"&amp;EDATE(C$90,1),Transactions!$G:$G,$A93)</f>
        <v>2580</v>
      </c>
      <c r="D93" s="71">
        <f>SUMIFS(Transactions!$I:$I,Transactions!$B:$B,"&gt;="&amp;D$90,Transactions!$B:$B,"&lt;"&amp;EDATE(D$90,1),Transactions!$G:$G,$A93)</f>
        <v>2780</v>
      </c>
      <c r="E93" s="71">
        <f t="shared" ref="E93:E98" si="19">SUM(B93:D93)</f>
        <v>7800</v>
      </c>
      <c r="F93" s="64"/>
      <c r="G93" s="6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70" t="s">
        <v>15</v>
      </c>
      <c r="B94" s="71">
        <f>SUMIFS(Transactions!$I:$I,Transactions!$B:$B,"&gt;="&amp;B$90,Transactions!$B:$B,"&lt;"&amp;EDATE(B$90,1),Transactions!$G:$G,$A94)</f>
        <v>720</v>
      </c>
      <c r="C94" s="71">
        <f>SUMIFS(Transactions!$I:$I,Transactions!$B:$B,"&gt;="&amp;C$90,Transactions!$B:$B,"&lt;"&amp;EDATE(C$90,1),Transactions!$G:$G,$A94)</f>
        <v>760</v>
      </c>
      <c r="D94" s="71">
        <f>SUMIFS(Transactions!$I:$I,Transactions!$B:$B,"&gt;="&amp;D$90,Transactions!$B:$B,"&lt;"&amp;EDATE(D$90,1),Transactions!$G:$G,$A94)</f>
        <v>830</v>
      </c>
      <c r="E94" s="71">
        <f t="shared" si="19"/>
        <v>2310</v>
      </c>
      <c r="F94" s="64"/>
      <c r="G94" s="6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70" t="s">
        <v>26</v>
      </c>
      <c r="B95" s="71">
        <f>SUMIFS(Transactions!$I:$I,Transactions!$B:$B,"&gt;="&amp;B$90,Transactions!$B:$B,"&lt;"&amp;EDATE(B$90,1),Transactions!$G:$G,$A95)</f>
        <v>2850</v>
      </c>
      <c r="C95" s="71">
        <f>SUMIFS(Transactions!$I:$I,Transactions!$B:$B,"&gt;="&amp;C$90,Transactions!$B:$B,"&lt;"&amp;EDATE(C$90,1),Transactions!$G:$G,$A95)</f>
        <v>3000</v>
      </c>
      <c r="D95" s="71">
        <f>SUMIFS(Transactions!$I:$I,Transactions!$B:$B,"&gt;="&amp;D$90,Transactions!$B:$B,"&lt;"&amp;EDATE(D$90,1),Transactions!$G:$G,$A95)</f>
        <v>3300</v>
      </c>
      <c r="E95" s="71">
        <f t="shared" si="19"/>
        <v>9150</v>
      </c>
      <c r="F95" s="64"/>
      <c r="G95" s="6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70" t="s">
        <v>39</v>
      </c>
      <c r="B96" s="71">
        <f>SUMIFS(Transactions!$I:$I,Transactions!$B:$B,"&gt;="&amp;B$90,Transactions!$B:$B,"&lt;"&amp;EDATE(B$90,1),Transactions!$G:$G,$A96)</f>
        <v>1160</v>
      </c>
      <c r="C96" s="71">
        <f>SUMIFS(Transactions!$I:$I,Transactions!$B:$B,"&gt;="&amp;C$90,Transactions!$B:$B,"&lt;"&amp;EDATE(C$90,1),Transactions!$G:$G,$A96)</f>
        <v>1325</v>
      </c>
      <c r="D96" s="71">
        <f>SUMIFS(Transactions!$I:$I,Transactions!$B:$B,"&gt;="&amp;D$90,Transactions!$B:$B,"&lt;"&amp;EDATE(D$90,1),Transactions!$G:$G,$A96)</f>
        <v>1540</v>
      </c>
      <c r="E96" s="71">
        <f t="shared" si="19"/>
        <v>4025</v>
      </c>
      <c r="F96" s="64"/>
      <c r="G96" s="6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70" t="s">
        <v>43</v>
      </c>
      <c r="B97" s="71">
        <f>SUMIFS(Transactions!$I:$I,Transactions!$B:$B,"&gt;="&amp;B$90,Transactions!$B:$B,"&lt;"&amp;EDATE(B$90,1),Transactions!$G:$G,$A97)</f>
        <v>220</v>
      </c>
      <c r="C97" s="71">
        <f>SUMIFS(Transactions!$I:$I,Transactions!$B:$B,"&gt;="&amp;C$90,Transactions!$B:$B,"&lt;"&amp;EDATE(C$90,1),Transactions!$G:$G,$A97)</f>
        <v>240</v>
      </c>
      <c r="D97" s="71">
        <f>SUMIFS(Transactions!$I:$I,Transactions!$B:$B,"&gt;="&amp;D$90,Transactions!$B:$B,"&lt;"&amp;EDATE(D$90,1),Transactions!$G:$G,$A97)</f>
        <v>265</v>
      </c>
      <c r="E97" s="71">
        <f t="shared" si="19"/>
        <v>725</v>
      </c>
      <c r="F97" s="64"/>
      <c r="G97" s="6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70" t="s">
        <v>47</v>
      </c>
      <c r="B98" s="71">
        <f>SUMIFS(Transactions!$I:$I,Transactions!$B:$B,"&gt;="&amp;B$90,Transactions!$B:$B,"&lt;"&amp;EDATE(B$90,1),Transactions!$G:$G,$A98)</f>
        <v>410</v>
      </c>
      <c r="C98" s="71">
        <f>SUMIFS(Transactions!$I:$I,Transactions!$B:$B,"&gt;="&amp;C$90,Transactions!$B:$B,"&lt;"&amp;EDATE(C$90,1),Transactions!$G:$G,$A98)</f>
        <v>445</v>
      </c>
      <c r="D98" s="71">
        <f>SUMIFS(Transactions!$I:$I,Transactions!$B:$B,"&gt;="&amp;D$90,Transactions!$B:$B,"&lt;"&amp;EDATE(D$90,1),Transactions!$G:$G,$A98)</f>
        <v>490</v>
      </c>
      <c r="E98" s="71">
        <f t="shared" si="19"/>
        <v>1345</v>
      </c>
      <c r="F98" s="64"/>
      <c r="G98" s="6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72" t="s">
        <v>51</v>
      </c>
      <c r="B99" s="73">
        <f t="shared" ref="B99:E99" si="20">SUM(B93:B98)</f>
        <v>7800</v>
      </c>
      <c r="C99" s="73">
        <f t="shared" si="20"/>
        <v>8350</v>
      </c>
      <c r="D99" s="73">
        <f t="shared" si="20"/>
        <v>9205</v>
      </c>
      <c r="E99" s="73">
        <f t="shared" si="20"/>
        <v>25355</v>
      </c>
      <c r="F99" s="64"/>
      <c r="G99" s="6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4"/>
      <c r="B100" s="74"/>
      <c r="C100" s="74"/>
      <c r="D100" s="74"/>
      <c r="E100" s="74"/>
      <c r="F100" s="64"/>
      <c r="G100" s="6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8" t="s">
        <v>58</v>
      </c>
      <c r="B101" s="75"/>
      <c r="C101" s="75"/>
      <c r="D101" s="75"/>
      <c r="E101" s="75"/>
      <c r="F101" s="64"/>
      <c r="G101" s="6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70" t="s">
        <v>53</v>
      </c>
      <c r="B102" s="71">
        <f>SUMIFS(Transactions!$J:$J,Transactions!$B:$B,"&gt;="&amp;B$90,Transactions!$B:$B,"&lt;"&amp;EDATE(B$90,1),Transactions!$G:$G,$A102)</f>
        <v>330</v>
      </c>
      <c r="C102" s="71">
        <f>SUMIFS(Transactions!$J:$J,Transactions!$B:$B,"&gt;="&amp;C$90,Transactions!$B:$B,"&lt;"&amp;EDATE(C$90,1),Transactions!$G:$G,$A102)</f>
        <v>350</v>
      </c>
      <c r="D102" s="71">
        <f>SUMIFS(Transactions!$J:$J,Transactions!$B:$B,"&gt;="&amp;D$90,Transactions!$B:$B,"&lt;"&amp;EDATE(D$90,1),Transactions!$G:$G,$A102)</f>
        <v>375</v>
      </c>
      <c r="E102" s="71">
        <f t="shared" ref="E102:E111" si="21">SUM(B102:D102)</f>
        <v>1055</v>
      </c>
      <c r="F102" s="64"/>
      <c r="G102" s="6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70" t="s">
        <v>65</v>
      </c>
      <c r="B103" s="71">
        <f>SUMIFS(Transactions!$J:$J,Transactions!$B:$B,"&gt;="&amp;B$90,Transactions!$B:$B,"&lt;"&amp;EDATE(B$90,1),Transactions!$G:$G,$A103)</f>
        <v>42</v>
      </c>
      <c r="C103" s="71">
        <f>SUMIFS(Transactions!$J:$J,Transactions!$B:$B,"&gt;="&amp;C$90,Transactions!$B:$B,"&lt;"&amp;EDATE(C$90,1),Transactions!$G:$G,$A103)</f>
        <v>45</v>
      </c>
      <c r="D103" s="71">
        <f>SUMIFS(Transactions!$J:$J,Transactions!$B:$B,"&gt;="&amp;D$90,Transactions!$B:$B,"&lt;"&amp;EDATE(D$90,1),Transactions!$G:$G,$A103)</f>
        <v>49</v>
      </c>
      <c r="E103" s="71">
        <f t="shared" si="21"/>
        <v>136</v>
      </c>
      <c r="F103" s="64"/>
      <c r="G103" s="6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70" t="s">
        <v>32</v>
      </c>
      <c r="B104" s="71">
        <f>SUMIFS(Transactions!$J:$J,Transactions!$B:$B,"&gt;="&amp;B$90,Transactions!$B:$B,"&lt;"&amp;EDATE(B$90,1),Transactions!$G:$G,$A104)</f>
        <v>84</v>
      </c>
      <c r="C104" s="71">
        <f>SUMIFS(Transactions!$J:$J,Transactions!$B:$B,"&gt;="&amp;C$90,Transactions!$B:$B,"&lt;"&amp;EDATE(C$90,1),Transactions!$G:$G,$A104)</f>
        <v>70</v>
      </c>
      <c r="D104" s="71">
        <f>SUMIFS(Transactions!$J:$J,Transactions!$B:$B,"&gt;="&amp;D$90,Transactions!$B:$B,"&lt;"&amp;EDATE(D$90,1),Transactions!$G:$G,$A104)</f>
        <v>84</v>
      </c>
      <c r="E104" s="71">
        <f t="shared" si="21"/>
        <v>238</v>
      </c>
      <c r="F104" s="64"/>
      <c r="G104" s="6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70" t="s">
        <v>70</v>
      </c>
      <c r="B105" s="71">
        <f>SUMIFS(Transactions!$J:$J,Transactions!$B:$B,"&gt;="&amp;B$90,Transactions!$B:$B,"&lt;"&amp;EDATE(B$90,1),Transactions!$G:$G,$A105)</f>
        <v>0</v>
      </c>
      <c r="C105" s="71">
        <f>SUMIFS(Transactions!$J:$J,Transactions!$B:$B,"&gt;="&amp;C$90,Transactions!$B:$B,"&lt;"&amp;EDATE(C$90,1),Transactions!$G:$G,$A105)</f>
        <v>420</v>
      </c>
      <c r="D105" s="71">
        <f>SUMIFS(Transactions!$J:$J,Transactions!$B:$B,"&gt;="&amp;D$90,Transactions!$B:$B,"&lt;"&amp;EDATE(D$90,1),Transactions!$G:$G,$A105)</f>
        <v>0</v>
      </c>
      <c r="E105" s="71">
        <f t="shared" si="21"/>
        <v>420</v>
      </c>
      <c r="F105" s="64"/>
      <c r="G105" s="6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70" t="s">
        <v>73</v>
      </c>
      <c r="B106" s="71">
        <f>SUMIFS(Transactions!$J:$J,Transactions!$B:$B,"&gt;="&amp;B$90,Transactions!$B:$B,"&lt;"&amp;EDATE(B$90,1),Transactions!$G:$G,$A106)</f>
        <v>165</v>
      </c>
      <c r="C106" s="71">
        <f>SUMIFS(Transactions!$J:$J,Transactions!$B:$B,"&gt;="&amp;C$90,Transactions!$B:$B,"&lt;"&amp;EDATE(C$90,1),Transactions!$G:$G,$A106)</f>
        <v>180</v>
      </c>
      <c r="D106" s="71">
        <f>SUMIFS(Transactions!$J:$J,Transactions!$B:$B,"&gt;="&amp;D$90,Transactions!$B:$B,"&lt;"&amp;EDATE(D$90,1),Transactions!$G:$G,$A106)</f>
        <v>210</v>
      </c>
      <c r="E106" s="71">
        <f t="shared" si="21"/>
        <v>555</v>
      </c>
      <c r="F106" s="64"/>
      <c r="G106" s="6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70" t="s">
        <v>77</v>
      </c>
      <c r="B107" s="71">
        <f>SUMIFS(Transactions!$J:$J,Transactions!$B:$B,"&gt;="&amp;B$90,Transactions!$B:$B,"&lt;"&amp;EDATE(B$90,1),Transactions!$G:$G,$A107)</f>
        <v>120</v>
      </c>
      <c r="C107" s="71">
        <f>SUMIFS(Transactions!$J:$J,Transactions!$B:$B,"&gt;="&amp;C$90,Transactions!$B:$B,"&lt;"&amp;EDATE(C$90,1),Transactions!$G:$G,$A107)</f>
        <v>120</v>
      </c>
      <c r="D107" s="71">
        <f>SUMIFS(Transactions!$J:$J,Transactions!$B:$B,"&gt;="&amp;D$90,Transactions!$B:$B,"&lt;"&amp;EDATE(D$90,1),Transactions!$G:$G,$A107)</f>
        <v>120</v>
      </c>
      <c r="E107" s="71">
        <f t="shared" si="21"/>
        <v>360</v>
      </c>
      <c r="F107" s="64"/>
      <c r="G107" s="6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70" t="s">
        <v>79</v>
      </c>
      <c r="B108" s="71">
        <f>SUMIFS(Transactions!$J:$J,Transactions!$B:$B,"&gt;="&amp;B$90,Transactions!$B:$B,"&lt;"&amp;EDATE(B$90,1),Transactions!$G:$G,$A108)</f>
        <v>610</v>
      </c>
      <c r="C108" s="71">
        <f>SUMIFS(Transactions!$J:$J,Transactions!$B:$B,"&gt;="&amp;C$90,Transactions!$B:$B,"&lt;"&amp;EDATE(C$90,1),Transactions!$G:$G,$A108)</f>
        <v>640</v>
      </c>
      <c r="D108" s="71">
        <f>SUMIFS(Transactions!$J:$J,Transactions!$B:$B,"&gt;="&amp;D$90,Transactions!$B:$B,"&lt;"&amp;EDATE(D$90,1),Transactions!$G:$G,$A108)</f>
        <v>720</v>
      </c>
      <c r="E108" s="71">
        <f t="shared" si="21"/>
        <v>1970</v>
      </c>
      <c r="F108" s="64"/>
      <c r="G108" s="6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70" t="s">
        <v>83</v>
      </c>
      <c r="B109" s="71">
        <f>SUMIFS(Transactions!$J:$J,Transactions!$B:$B,"&gt;="&amp;B$90,Transactions!$B:$B,"&lt;"&amp;EDATE(B$90,1),Transactions!$G:$G,$A109)</f>
        <v>0</v>
      </c>
      <c r="C109" s="71">
        <f>SUMIFS(Transactions!$J:$J,Transactions!$B:$B,"&gt;="&amp;C$90,Transactions!$B:$B,"&lt;"&amp;EDATE(C$90,1),Transactions!$G:$G,$A109)</f>
        <v>140</v>
      </c>
      <c r="D109" s="71">
        <f>SUMIFS(Transactions!$J:$J,Transactions!$B:$B,"&gt;="&amp;D$90,Transactions!$B:$B,"&lt;"&amp;EDATE(D$90,1),Transactions!$G:$G,$A109)</f>
        <v>165</v>
      </c>
      <c r="E109" s="71">
        <f t="shared" si="21"/>
        <v>305</v>
      </c>
      <c r="F109" s="64"/>
      <c r="G109" s="6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70" t="s">
        <v>89</v>
      </c>
      <c r="B110" s="71">
        <f>SUMIFS(Transactions!$J:$J,Transactions!$B:$B,"&gt;="&amp;B$90,Transactions!$B:$B,"&lt;"&amp;EDATE(B$90,1),Transactions!$G:$G,$A110)</f>
        <v>0</v>
      </c>
      <c r="C110" s="71">
        <f>SUMIFS(Transactions!$J:$J,Transactions!$B:$B,"&gt;="&amp;C$90,Transactions!$B:$B,"&lt;"&amp;EDATE(C$90,1),Transactions!$G:$G,$A110)</f>
        <v>72</v>
      </c>
      <c r="D110" s="71">
        <f>SUMIFS(Transactions!$J:$J,Transactions!$B:$B,"&gt;="&amp;D$90,Transactions!$B:$B,"&lt;"&amp;EDATE(D$90,1),Transactions!$G:$G,$A110)</f>
        <v>95</v>
      </c>
      <c r="E110" s="71">
        <f t="shared" si="21"/>
        <v>167</v>
      </c>
      <c r="F110" s="64"/>
      <c r="G110" s="6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70" t="s">
        <v>93</v>
      </c>
      <c r="B111" s="71">
        <f>SUMIFS(Transactions!$J:$J,Transactions!$B:$B,"&gt;="&amp;B$90,Transactions!$B:$B,"&lt;"&amp;EDATE(B$90,1),Transactions!$G:$G,$A111)</f>
        <v>0</v>
      </c>
      <c r="C111" s="71">
        <f>SUMIFS(Transactions!$J:$J,Transactions!$B:$B,"&gt;="&amp;C$90,Transactions!$B:$B,"&lt;"&amp;EDATE(C$90,1),Transactions!$G:$G,$A111)</f>
        <v>0</v>
      </c>
      <c r="D111" s="71">
        <f>SUMIFS(Transactions!$J:$J,Transactions!$B:$B,"&gt;="&amp;D$90,Transactions!$B:$B,"&lt;"&amp;EDATE(D$90,1),Transactions!$G:$G,$A111)</f>
        <v>110</v>
      </c>
      <c r="E111" s="71">
        <f t="shared" si="21"/>
        <v>110</v>
      </c>
      <c r="F111" s="64"/>
      <c r="G111" s="6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72" t="s">
        <v>54</v>
      </c>
      <c r="B112" s="73">
        <f t="shared" ref="B112:E112" si="22">SUM(B102:B111)</f>
        <v>1351</v>
      </c>
      <c r="C112" s="73">
        <f t="shared" si="22"/>
        <v>2037</v>
      </c>
      <c r="D112" s="73">
        <f t="shared" si="22"/>
        <v>1928</v>
      </c>
      <c r="E112" s="73">
        <f t="shared" si="22"/>
        <v>5316</v>
      </c>
      <c r="F112" s="64"/>
      <c r="G112" s="6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64"/>
      <c r="B113" s="74"/>
      <c r="C113" s="74"/>
      <c r="D113" s="74"/>
      <c r="E113" s="74"/>
      <c r="F113" s="64"/>
      <c r="G113" s="6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76" t="s">
        <v>55</v>
      </c>
      <c r="B114" s="77">
        <f t="shared" ref="B114:E114" si="23">B99-B112</f>
        <v>6449</v>
      </c>
      <c r="C114" s="77">
        <f t="shared" si="23"/>
        <v>6313</v>
      </c>
      <c r="D114" s="77">
        <f t="shared" si="23"/>
        <v>7277</v>
      </c>
      <c r="E114" s="77">
        <f t="shared" si="23"/>
        <v>20039</v>
      </c>
      <c r="F114" s="64"/>
      <c r="G114" s="6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70" t="s">
        <v>56</v>
      </c>
      <c r="B115" s="78">
        <f t="shared" ref="B115:E115" si="24">IFERROR(B114/B99,0)</f>
        <v>0.8267948718</v>
      </c>
      <c r="C115" s="78">
        <f t="shared" si="24"/>
        <v>0.7560479042</v>
      </c>
      <c r="D115" s="78">
        <f t="shared" si="24"/>
        <v>0.7905486149</v>
      </c>
      <c r="E115" s="78">
        <f t="shared" si="24"/>
        <v>0.7903372116</v>
      </c>
      <c r="F115" s="64"/>
      <c r="G115" s="6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64"/>
      <c r="B116" s="64"/>
      <c r="C116" s="64"/>
      <c r="D116" s="64"/>
      <c r="E116" s="64"/>
      <c r="F116" s="64"/>
      <c r="G116" s="6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64"/>
      <c r="B117" s="64"/>
      <c r="C117" s="64"/>
      <c r="D117" s="64"/>
      <c r="E117" s="64"/>
      <c r="F117" s="64"/>
      <c r="G117" s="6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A99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2.13"/>
    <col customWidth="1" min="3" max="3" width="15.88"/>
    <col customWidth="1" min="4" max="4" width="29.0"/>
    <col customWidth="1" min="5" max="5" width="15.38"/>
    <col customWidth="1" min="6" max="6" width="15.75"/>
    <col customWidth="1" min="7" max="7" width="25.88"/>
    <col customWidth="1" min="8" max="8" width="14.38"/>
    <col customWidth="1" min="9" max="9" width="16.25"/>
    <col customWidth="1" min="10" max="10" width="8.25"/>
    <col customWidth="1" min="11" max="11" width="11.13"/>
    <col customWidth="1" min="12" max="12" width="10.63"/>
    <col customWidth="1" min="13" max="13" width="24.0"/>
    <col customWidth="1" min="14" max="14" width="14.0"/>
    <col customWidth="1" min="15" max="15" width="13.25"/>
    <col customWidth="1" min="16" max="26" width="8.63"/>
  </cols>
  <sheetData>
    <row r="1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13</v>
      </c>
      <c r="J1" s="7" t="s">
        <v>14</v>
      </c>
      <c r="K1" s="7" t="s">
        <v>16</v>
      </c>
      <c r="L1" s="7" t="s">
        <v>17</v>
      </c>
      <c r="M1" s="7" t="s">
        <v>18</v>
      </c>
      <c r="N1" s="7" t="s">
        <v>19</v>
      </c>
      <c r="O1" s="9" t="s">
        <v>20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22</v>
      </c>
      <c r="B2" s="13">
        <v>46024.0</v>
      </c>
      <c r="C2" s="14" t="s">
        <v>25</v>
      </c>
      <c r="D2" s="11" t="s">
        <v>28</v>
      </c>
      <c r="E2" s="11" t="s">
        <v>29</v>
      </c>
      <c r="F2" s="11" t="s">
        <v>31</v>
      </c>
      <c r="G2" s="11" t="s">
        <v>32</v>
      </c>
      <c r="H2" s="11"/>
      <c r="I2" s="15">
        <v>0.0</v>
      </c>
      <c r="J2" s="15">
        <v>55.0</v>
      </c>
      <c r="K2" s="15">
        <f t="shared" ref="K2:K55" si="1">I2-J2</f>
        <v>-55</v>
      </c>
      <c r="L2" s="11" t="s">
        <v>37</v>
      </c>
      <c r="M2" s="11"/>
      <c r="N2" s="11">
        <f t="shared" ref="N2:N55" si="2">IF(COUNTIF($A$2:$A$54,A2)&gt;1,1,0)</f>
        <v>0</v>
      </c>
      <c r="O2" s="21" t="str">
        <f>"Q"&amp;ROUNDUP(MONTH($B2)/3,0)</f>
        <v>Q1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44</v>
      </c>
      <c r="B3" s="13">
        <v>46025.0</v>
      </c>
      <c r="C3" s="14" t="s">
        <v>25</v>
      </c>
      <c r="D3" s="11" t="s">
        <v>45</v>
      </c>
      <c r="E3" s="11" t="s">
        <v>40</v>
      </c>
      <c r="F3" s="11" t="s">
        <v>2</v>
      </c>
      <c r="G3" s="11" t="s">
        <v>3</v>
      </c>
      <c r="H3" s="11" t="s">
        <v>46</v>
      </c>
      <c r="I3" s="15">
        <v>1450.0</v>
      </c>
      <c r="J3" s="15">
        <v>0.0</v>
      </c>
      <c r="K3" s="15">
        <f t="shared" si="1"/>
        <v>1450</v>
      </c>
      <c r="L3" s="11" t="s">
        <v>37</v>
      </c>
      <c r="M3" s="11"/>
      <c r="N3" s="11">
        <f t="shared" si="2"/>
        <v>0</v>
      </c>
      <c r="O3" s="21" t="str">
        <f>=IF($B2="","", "Q"&amp;ROUNDUP(MONTH($B2)/3,0))</f>
        <v>#ERROR!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50</v>
      </c>
      <c r="B4" s="13">
        <v>46026.0</v>
      </c>
      <c r="C4" s="14" t="s">
        <v>25</v>
      </c>
      <c r="D4" s="11" t="s">
        <v>52</v>
      </c>
      <c r="E4" s="11" t="s">
        <v>40</v>
      </c>
      <c r="F4" s="11" t="s">
        <v>31</v>
      </c>
      <c r="G4" s="11" t="s">
        <v>53</v>
      </c>
      <c r="H4" s="11"/>
      <c r="I4" s="15">
        <v>0.0</v>
      </c>
      <c r="J4" s="15">
        <v>210.0</v>
      </c>
      <c r="K4" s="15">
        <f t="shared" si="1"/>
        <v>-210</v>
      </c>
      <c r="L4" s="11" t="s">
        <v>37</v>
      </c>
      <c r="M4" s="11"/>
      <c r="N4" s="11">
        <f t="shared" si="2"/>
        <v>0</v>
      </c>
      <c r="O4" s="21" t="str">
        <f t="shared" ref="O4:O55" si="3">"Q"&amp;ROUNDUP(MONTH($B4)/3,0)</f>
        <v>Q1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57</v>
      </c>
      <c r="B5" s="13">
        <v>46027.0</v>
      </c>
      <c r="C5" s="14" t="s">
        <v>25</v>
      </c>
      <c r="D5" s="11" t="s">
        <v>59</v>
      </c>
      <c r="E5" s="11" t="s">
        <v>60</v>
      </c>
      <c r="F5" s="11" t="s">
        <v>2</v>
      </c>
      <c r="G5" s="11" t="s">
        <v>15</v>
      </c>
      <c r="H5" s="11" t="s">
        <v>62</v>
      </c>
      <c r="I5" s="15">
        <v>380.0</v>
      </c>
      <c r="J5" s="15">
        <v>0.0</v>
      </c>
      <c r="K5" s="15">
        <f t="shared" si="1"/>
        <v>380</v>
      </c>
      <c r="L5" s="11" t="s">
        <v>37</v>
      </c>
      <c r="M5" s="11"/>
      <c r="N5" s="11">
        <f t="shared" si="2"/>
        <v>0</v>
      </c>
      <c r="O5" s="21" t="str">
        <f t="shared" si="3"/>
        <v>Q1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63</v>
      </c>
      <c r="B6" s="13">
        <v>46029.0</v>
      </c>
      <c r="C6" s="14" t="s">
        <v>25</v>
      </c>
      <c r="D6" s="11" t="s">
        <v>64</v>
      </c>
      <c r="E6" s="11" t="s">
        <v>29</v>
      </c>
      <c r="F6" s="11" t="s">
        <v>31</v>
      </c>
      <c r="G6" s="11" t="s">
        <v>32</v>
      </c>
      <c r="H6" s="11"/>
      <c r="I6" s="15">
        <v>0.0</v>
      </c>
      <c r="J6" s="15">
        <v>29.0</v>
      </c>
      <c r="K6" s="15">
        <f t="shared" si="1"/>
        <v>-29</v>
      </c>
      <c r="L6" s="11" t="s">
        <v>37</v>
      </c>
      <c r="M6" s="11"/>
      <c r="N6" s="11">
        <f t="shared" si="2"/>
        <v>0</v>
      </c>
      <c r="O6" s="21" t="str">
        <f t="shared" si="3"/>
        <v>Q1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67</v>
      </c>
      <c r="B7" s="13">
        <v>46030.0</v>
      </c>
      <c r="C7" s="14" t="s">
        <v>25</v>
      </c>
      <c r="D7" s="11" t="s">
        <v>68</v>
      </c>
      <c r="E7" s="11" t="s">
        <v>40</v>
      </c>
      <c r="F7" s="11" t="s">
        <v>2</v>
      </c>
      <c r="G7" s="11" t="s">
        <v>26</v>
      </c>
      <c r="H7" s="11" t="s">
        <v>69</v>
      </c>
      <c r="I7" s="15">
        <v>1200.0</v>
      </c>
      <c r="J7" s="15">
        <v>0.0</v>
      </c>
      <c r="K7" s="15">
        <f t="shared" si="1"/>
        <v>1200</v>
      </c>
      <c r="L7" s="11" t="s">
        <v>37</v>
      </c>
      <c r="M7" s="11"/>
      <c r="N7" s="11">
        <f t="shared" si="2"/>
        <v>0</v>
      </c>
      <c r="O7" s="21" t="str">
        <f t="shared" si="3"/>
        <v>Q1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74</v>
      </c>
      <c r="B8" s="13">
        <v>46031.0</v>
      </c>
      <c r="C8" s="14" t="s">
        <v>25</v>
      </c>
      <c r="D8" s="11" t="s">
        <v>76</v>
      </c>
      <c r="E8" s="11" t="s">
        <v>29</v>
      </c>
      <c r="F8" s="11" t="s">
        <v>31</v>
      </c>
      <c r="G8" s="11" t="s">
        <v>32</v>
      </c>
      <c r="H8" s="11"/>
      <c r="I8" s="15">
        <v>0.0</v>
      </c>
      <c r="J8" s="15">
        <v>15.0</v>
      </c>
      <c r="K8" s="15">
        <f t="shared" si="1"/>
        <v>-15</v>
      </c>
      <c r="L8" s="11" t="s">
        <v>37</v>
      </c>
      <c r="M8" s="11"/>
      <c r="N8" s="11">
        <f t="shared" si="2"/>
        <v>0</v>
      </c>
      <c r="O8" s="21" t="str">
        <f t="shared" si="3"/>
        <v>Q1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80</v>
      </c>
      <c r="B9" s="13">
        <v>46033.0</v>
      </c>
      <c r="C9" s="14" t="s">
        <v>25</v>
      </c>
      <c r="D9" s="11" t="s">
        <v>81</v>
      </c>
      <c r="E9" s="11" t="s">
        <v>29</v>
      </c>
      <c r="F9" s="11" t="s">
        <v>31</v>
      </c>
      <c r="G9" s="11" t="s">
        <v>70</v>
      </c>
      <c r="H9" s="11"/>
      <c r="I9" s="15">
        <v>0.0</v>
      </c>
      <c r="J9" s="15">
        <v>520.0</v>
      </c>
      <c r="K9" s="15">
        <f t="shared" si="1"/>
        <v>-520</v>
      </c>
      <c r="L9" s="11" t="s">
        <v>37</v>
      </c>
      <c r="M9" s="11" t="s">
        <v>84</v>
      </c>
      <c r="N9" s="11">
        <f t="shared" si="2"/>
        <v>0</v>
      </c>
      <c r="O9" s="21" t="str">
        <f t="shared" si="3"/>
        <v>Q1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85</v>
      </c>
      <c r="B10" s="13">
        <v>46034.0</v>
      </c>
      <c r="C10" s="14" t="s">
        <v>25</v>
      </c>
      <c r="D10" s="11" t="s">
        <v>87</v>
      </c>
      <c r="E10" s="11" t="s">
        <v>40</v>
      </c>
      <c r="F10" s="11" t="s">
        <v>2</v>
      </c>
      <c r="G10" s="11" t="s">
        <v>39</v>
      </c>
      <c r="H10" s="11" t="s">
        <v>88</v>
      </c>
      <c r="I10" s="15">
        <v>640.0</v>
      </c>
      <c r="J10" s="15">
        <v>0.0</v>
      </c>
      <c r="K10" s="15">
        <f t="shared" si="1"/>
        <v>640</v>
      </c>
      <c r="L10" s="11" t="s">
        <v>37</v>
      </c>
      <c r="M10" s="11"/>
      <c r="N10" s="11">
        <f t="shared" si="2"/>
        <v>0</v>
      </c>
      <c r="O10" s="21" t="str">
        <f t="shared" si="3"/>
        <v>Q1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92</v>
      </c>
      <c r="B11" s="13">
        <v>46034.0</v>
      </c>
      <c r="C11" s="14" t="s">
        <v>25</v>
      </c>
      <c r="D11" s="11" t="s">
        <v>95</v>
      </c>
      <c r="E11" s="11" t="s">
        <v>40</v>
      </c>
      <c r="F11" s="11" t="s">
        <v>31</v>
      </c>
      <c r="G11" s="11" t="s">
        <v>65</v>
      </c>
      <c r="H11" s="11"/>
      <c r="I11" s="15">
        <v>0.0</v>
      </c>
      <c r="J11" s="15">
        <v>18.0</v>
      </c>
      <c r="K11" s="15">
        <f t="shared" si="1"/>
        <v>-18</v>
      </c>
      <c r="L11" s="11" t="s">
        <v>37</v>
      </c>
      <c r="M11" s="11"/>
      <c r="N11" s="11">
        <f t="shared" si="2"/>
        <v>0</v>
      </c>
      <c r="O11" s="21" t="str">
        <f t="shared" si="3"/>
        <v>Q1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96</v>
      </c>
      <c r="B12" s="13">
        <v>46037.0</v>
      </c>
      <c r="C12" s="14" t="s">
        <v>25</v>
      </c>
      <c r="D12" s="11" t="s">
        <v>97</v>
      </c>
      <c r="E12" s="11" t="s">
        <v>40</v>
      </c>
      <c r="F12" s="11" t="s">
        <v>2</v>
      </c>
      <c r="G12" s="11" t="s">
        <v>43</v>
      </c>
      <c r="H12" s="11" t="s">
        <v>100</v>
      </c>
      <c r="I12" s="15">
        <v>115.0</v>
      </c>
      <c r="J12" s="15">
        <v>0.0</v>
      </c>
      <c r="K12" s="15">
        <f t="shared" si="1"/>
        <v>115</v>
      </c>
      <c r="L12" s="11" t="s">
        <v>37</v>
      </c>
      <c r="M12" s="11"/>
      <c r="N12" s="11">
        <f t="shared" si="2"/>
        <v>0</v>
      </c>
      <c r="O12" s="21" t="str">
        <f t="shared" si="3"/>
        <v>Q1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104</v>
      </c>
      <c r="B13" s="13">
        <v>46038.0</v>
      </c>
      <c r="C13" s="14" t="s">
        <v>25</v>
      </c>
      <c r="D13" s="11" t="s">
        <v>105</v>
      </c>
      <c r="E13" s="11" t="s">
        <v>29</v>
      </c>
      <c r="F13" s="11" t="s">
        <v>31</v>
      </c>
      <c r="G13" s="11" t="s">
        <v>73</v>
      </c>
      <c r="H13" s="11"/>
      <c r="I13" s="15">
        <v>0.0</v>
      </c>
      <c r="J13" s="15">
        <v>95.0</v>
      </c>
      <c r="K13" s="15">
        <f t="shared" si="1"/>
        <v>-95</v>
      </c>
      <c r="L13" s="11" t="s">
        <v>37</v>
      </c>
      <c r="M13" s="11"/>
      <c r="N13" s="11">
        <f t="shared" si="2"/>
        <v>0</v>
      </c>
      <c r="O13" s="21" t="str">
        <f t="shared" si="3"/>
        <v>Q1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107</v>
      </c>
      <c r="B14" s="13">
        <v>46040.0</v>
      </c>
      <c r="C14" s="14" t="s">
        <v>25</v>
      </c>
      <c r="D14" s="11" t="s">
        <v>108</v>
      </c>
      <c r="E14" s="11" t="s">
        <v>40</v>
      </c>
      <c r="F14" s="11" t="s">
        <v>31</v>
      </c>
      <c r="G14" s="11" t="s">
        <v>77</v>
      </c>
      <c r="H14" s="11"/>
      <c r="I14" s="15">
        <v>0.0</v>
      </c>
      <c r="J14" s="15">
        <v>120.0</v>
      </c>
      <c r="K14" s="15">
        <f t="shared" si="1"/>
        <v>-120</v>
      </c>
      <c r="L14" s="11" t="s">
        <v>37</v>
      </c>
      <c r="M14" s="11" t="s">
        <v>110</v>
      </c>
      <c r="N14" s="11">
        <f t="shared" si="2"/>
        <v>0</v>
      </c>
      <c r="O14" s="21" t="str">
        <f t="shared" si="3"/>
        <v>Q1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111</v>
      </c>
      <c r="B15" s="13">
        <v>46042.0</v>
      </c>
      <c r="C15" s="14" t="s">
        <v>25</v>
      </c>
      <c r="D15" s="11" t="s">
        <v>114</v>
      </c>
      <c r="E15" s="11" t="s">
        <v>40</v>
      </c>
      <c r="F15" s="11" t="s">
        <v>2</v>
      </c>
      <c r="G15" s="11" t="s">
        <v>47</v>
      </c>
      <c r="H15" s="11" t="s">
        <v>99</v>
      </c>
      <c r="I15" s="15">
        <v>210.0</v>
      </c>
      <c r="J15" s="15">
        <v>0.0</v>
      </c>
      <c r="K15" s="15">
        <f t="shared" si="1"/>
        <v>210</v>
      </c>
      <c r="L15" s="11" t="s">
        <v>37</v>
      </c>
      <c r="M15" s="11"/>
      <c r="N15" s="11">
        <f t="shared" si="2"/>
        <v>0</v>
      </c>
      <c r="O15" s="21" t="str">
        <f t="shared" si="3"/>
        <v>Q1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121</v>
      </c>
      <c r="B16" s="13">
        <v>46044.0</v>
      </c>
      <c r="C16" s="14" t="s">
        <v>25</v>
      </c>
      <c r="D16" s="11" t="s">
        <v>122</v>
      </c>
      <c r="E16" s="11" t="s">
        <v>29</v>
      </c>
      <c r="F16" s="11" t="s">
        <v>31</v>
      </c>
      <c r="G16" s="11" t="s">
        <v>79</v>
      </c>
      <c r="H16" s="11"/>
      <c r="I16" s="15">
        <v>0.0</v>
      </c>
      <c r="J16" s="15">
        <v>350.0</v>
      </c>
      <c r="K16" s="15">
        <f t="shared" si="1"/>
        <v>-350</v>
      </c>
      <c r="L16" s="11" t="s">
        <v>37</v>
      </c>
      <c r="M16" s="11"/>
      <c r="N16" s="11">
        <f t="shared" si="2"/>
        <v>0</v>
      </c>
      <c r="O16" s="21" t="str">
        <f t="shared" si="3"/>
        <v>Q1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123</v>
      </c>
      <c r="B17" s="13">
        <v>46047.0</v>
      </c>
      <c r="C17" s="14" t="s">
        <v>25</v>
      </c>
      <c r="D17" s="11" t="s">
        <v>125</v>
      </c>
      <c r="E17" s="11" t="s">
        <v>40</v>
      </c>
      <c r="F17" s="11" t="s">
        <v>31</v>
      </c>
      <c r="G17" s="11" t="s">
        <v>83</v>
      </c>
      <c r="H17" s="11"/>
      <c r="I17" s="15">
        <v>0.0</v>
      </c>
      <c r="J17" s="15">
        <v>62.0</v>
      </c>
      <c r="K17" s="15">
        <f t="shared" si="1"/>
        <v>-62</v>
      </c>
      <c r="L17" s="11" t="s">
        <v>37</v>
      </c>
      <c r="M17" s="11"/>
      <c r="N17" s="11">
        <f t="shared" si="2"/>
        <v>0</v>
      </c>
      <c r="O17" s="21" t="str">
        <f t="shared" si="3"/>
        <v>Q1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127</v>
      </c>
      <c r="B18" s="13">
        <v>46049.0</v>
      </c>
      <c r="C18" s="14" t="s">
        <v>25</v>
      </c>
      <c r="D18" s="11" t="s">
        <v>128</v>
      </c>
      <c r="E18" s="11" t="s">
        <v>40</v>
      </c>
      <c r="F18" s="11" t="s">
        <v>31</v>
      </c>
      <c r="G18" s="11" t="s">
        <v>89</v>
      </c>
      <c r="H18" s="11"/>
      <c r="I18" s="15">
        <v>0.0</v>
      </c>
      <c r="J18" s="15">
        <v>44.0</v>
      </c>
      <c r="K18" s="15">
        <f t="shared" si="1"/>
        <v>-44</v>
      </c>
      <c r="L18" s="11" t="s">
        <v>37</v>
      </c>
      <c r="M18" s="11"/>
      <c r="N18" s="11">
        <f t="shared" si="2"/>
        <v>0</v>
      </c>
      <c r="O18" s="21" t="str">
        <f t="shared" si="3"/>
        <v>Q1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134</v>
      </c>
      <c r="B19" s="13">
        <v>46050.0</v>
      </c>
      <c r="C19" s="14" t="s">
        <v>25</v>
      </c>
      <c r="D19" s="11" t="s">
        <v>135</v>
      </c>
      <c r="E19" s="11" t="s">
        <v>29</v>
      </c>
      <c r="F19" s="11" t="s">
        <v>31</v>
      </c>
      <c r="G19" s="11" t="s">
        <v>93</v>
      </c>
      <c r="H19" s="11"/>
      <c r="I19" s="15">
        <v>0.0</v>
      </c>
      <c r="J19" s="15">
        <v>48.0</v>
      </c>
      <c r="K19" s="15">
        <f t="shared" si="1"/>
        <v>-48</v>
      </c>
      <c r="L19" s="11" t="s">
        <v>37</v>
      </c>
      <c r="M19" s="11"/>
      <c r="N19" s="11">
        <f t="shared" si="2"/>
        <v>0</v>
      </c>
      <c r="O19" s="21" t="str">
        <f t="shared" si="3"/>
        <v>Q1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138</v>
      </c>
      <c r="B20" s="13">
        <v>46055.0</v>
      </c>
      <c r="C20" s="14" t="s">
        <v>139</v>
      </c>
      <c r="D20" s="11" t="s">
        <v>28</v>
      </c>
      <c r="E20" s="11" t="s">
        <v>29</v>
      </c>
      <c r="F20" s="11" t="s">
        <v>31</v>
      </c>
      <c r="G20" s="11" t="s">
        <v>32</v>
      </c>
      <c r="H20" s="11"/>
      <c r="I20" s="15">
        <v>0.0</v>
      </c>
      <c r="J20" s="15">
        <v>55.0</v>
      </c>
      <c r="K20" s="15">
        <f t="shared" si="1"/>
        <v>-55</v>
      </c>
      <c r="L20" s="11" t="s">
        <v>37</v>
      </c>
      <c r="M20" s="11"/>
      <c r="N20" s="11">
        <f t="shared" si="2"/>
        <v>0</v>
      </c>
      <c r="O20" s="21" t="str">
        <f t="shared" si="3"/>
        <v>Q1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1" t="s">
        <v>140</v>
      </c>
      <c r="B21" s="13">
        <v>46056.0</v>
      </c>
      <c r="C21" s="14" t="s">
        <v>139</v>
      </c>
      <c r="D21" s="11" t="s">
        <v>45</v>
      </c>
      <c r="E21" s="11" t="s">
        <v>40</v>
      </c>
      <c r="F21" s="11" t="s">
        <v>2</v>
      </c>
      <c r="G21" s="11" t="s">
        <v>3</v>
      </c>
      <c r="H21" s="11" t="s">
        <v>46</v>
      </c>
      <c r="I21" s="15">
        <v>1580.0</v>
      </c>
      <c r="J21" s="15">
        <v>0.0</v>
      </c>
      <c r="K21" s="15">
        <f t="shared" si="1"/>
        <v>1580</v>
      </c>
      <c r="L21" s="11" t="s">
        <v>37</v>
      </c>
      <c r="M21" s="11"/>
      <c r="N21" s="11">
        <f t="shared" si="2"/>
        <v>0</v>
      </c>
      <c r="O21" s="21" t="str">
        <f t="shared" si="3"/>
        <v>Q1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1" t="s">
        <v>143</v>
      </c>
      <c r="B22" s="13">
        <v>46057.0</v>
      </c>
      <c r="C22" s="14" t="s">
        <v>139</v>
      </c>
      <c r="D22" s="11" t="s">
        <v>52</v>
      </c>
      <c r="E22" s="11" t="s">
        <v>40</v>
      </c>
      <c r="F22" s="11" t="s">
        <v>31</v>
      </c>
      <c r="G22" s="11" t="s">
        <v>53</v>
      </c>
      <c r="H22" s="11"/>
      <c r="I22" s="15">
        <v>0.0</v>
      </c>
      <c r="J22" s="15">
        <v>230.0</v>
      </c>
      <c r="K22" s="15">
        <f t="shared" si="1"/>
        <v>-230</v>
      </c>
      <c r="L22" s="11" t="s">
        <v>37</v>
      </c>
      <c r="M22" s="11"/>
      <c r="N22" s="11">
        <f t="shared" si="2"/>
        <v>0</v>
      </c>
      <c r="O22" s="21" t="str">
        <f t="shared" si="3"/>
        <v>Q1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1" t="s">
        <v>144</v>
      </c>
      <c r="B23" s="13">
        <v>46058.0</v>
      </c>
      <c r="C23" s="14" t="s">
        <v>139</v>
      </c>
      <c r="D23" s="11" t="s">
        <v>59</v>
      </c>
      <c r="E23" s="11" t="s">
        <v>60</v>
      </c>
      <c r="F23" s="11" t="s">
        <v>2</v>
      </c>
      <c r="G23" s="11" t="s">
        <v>15</v>
      </c>
      <c r="H23" s="11" t="s">
        <v>62</v>
      </c>
      <c r="I23" s="15">
        <v>445.0</v>
      </c>
      <c r="J23" s="15">
        <v>0.0</v>
      </c>
      <c r="K23" s="15">
        <f t="shared" si="1"/>
        <v>445</v>
      </c>
      <c r="L23" s="11" t="s">
        <v>37</v>
      </c>
      <c r="M23" s="11"/>
      <c r="N23" s="11">
        <f t="shared" si="2"/>
        <v>0</v>
      </c>
      <c r="O23" s="21" t="str">
        <f t="shared" si="3"/>
        <v>Q1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1" t="s">
        <v>147</v>
      </c>
      <c r="B24" s="13">
        <v>46060.0</v>
      </c>
      <c r="C24" s="14" t="s">
        <v>139</v>
      </c>
      <c r="D24" s="11" t="s">
        <v>64</v>
      </c>
      <c r="E24" s="11" t="s">
        <v>29</v>
      </c>
      <c r="F24" s="11" t="s">
        <v>31</v>
      </c>
      <c r="G24" s="11" t="s">
        <v>32</v>
      </c>
      <c r="H24" s="11"/>
      <c r="I24" s="15">
        <v>0.0</v>
      </c>
      <c r="J24" s="15">
        <v>29.0</v>
      </c>
      <c r="K24" s="15">
        <f t="shared" si="1"/>
        <v>-29</v>
      </c>
      <c r="L24" s="11" t="s">
        <v>37</v>
      </c>
      <c r="M24" s="11"/>
      <c r="N24" s="11">
        <f t="shared" si="2"/>
        <v>0</v>
      </c>
      <c r="O24" s="21" t="str">
        <f t="shared" si="3"/>
        <v>Q1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1" t="s">
        <v>149</v>
      </c>
      <c r="B25" s="13">
        <v>46061.0</v>
      </c>
      <c r="C25" s="14" t="s">
        <v>139</v>
      </c>
      <c r="D25" s="11" t="s">
        <v>68</v>
      </c>
      <c r="E25" s="11" t="s">
        <v>40</v>
      </c>
      <c r="F25" s="11" t="s">
        <v>2</v>
      </c>
      <c r="G25" s="11" t="s">
        <v>26</v>
      </c>
      <c r="H25" s="11" t="s">
        <v>69</v>
      </c>
      <c r="I25" s="15">
        <v>1500.0</v>
      </c>
      <c r="J25" s="15">
        <v>0.0</v>
      </c>
      <c r="K25" s="15">
        <f t="shared" si="1"/>
        <v>1500</v>
      </c>
      <c r="L25" s="11" t="s">
        <v>37</v>
      </c>
      <c r="M25" s="11"/>
      <c r="N25" s="11">
        <f t="shared" si="2"/>
        <v>0</v>
      </c>
      <c r="O25" s="21" t="str">
        <f t="shared" si="3"/>
        <v>Q1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1" t="s">
        <v>150</v>
      </c>
      <c r="B26" s="13">
        <v>46062.0</v>
      </c>
      <c r="C26" s="14" t="s">
        <v>139</v>
      </c>
      <c r="D26" s="11" t="s">
        <v>76</v>
      </c>
      <c r="E26" s="11" t="s">
        <v>29</v>
      </c>
      <c r="F26" s="11" t="s">
        <v>31</v>
      </c>
      <c r="G26" s="11" t="s">
        <v>32</v>
      </c>
      <c r="H26" s="11"/>
      <c r="I26" s="15">
        <v>0.0</v>
      </c>
      <c r="J26" s="15">
        <v>15.0</v>
      </c>
      <c r="K26" s="15">
        <f t="shared" si="1"/>
        <v>-15</v>
      </c>
      <c r="L26" s="11" t="s">
        <v>37</v>
      </c>
      <c r="M26" s="11"/>
      <c r="N26" s="11">
        <f t="shared" si="2"/>
        <v>0</v>
      </c>
      <c r="O26" s="21" t="str">
        <f t="shared" si="3"/>
        <v>Q1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1" t="s">
        <v>152</v>
      </c>
      <c r="B27" s="13">
        <v>46065.0</v>
      </c>
      <c r="C27" s="14" t="s">
        <v>139</v>
      </c>
      <c r="D27" s="11" t="s">
        <v>87</v>
      </c>
      <c r="E27" s="11" t="s">
        <v>40</v>
      </c>
      <c r="F27" s="11" t="s">
        <v>2</v>
      </c>
      <c r="G27" s="11" t="s">
        <v>39</v>
      </c>
      <c r="H27" s="11" t="s">
        <v>88</v>
      </c>
      <c r="I27" s="15">
        <v>720.0</v>
      </c>
      <c r="J27" s="15">
        <v>0.0</v>
      </c>
      <c r="K27" s="15">
        <f t="shared" si="1"/>
        <v>720</v>
      </c>
      <c r="L27" s="11" t="s">
        <v>37</v>
      </c>
      <c r="M27" s="11"/>
      <c r="N27" s="11">
        <f t="shared" si="2"/>
        <v>0</v>
      </c>
      <c r="O27" s="21" t="str">
        <f t="shared" si="3"/>
        <v>Q1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1" t="s">
        <v>154</v>
      </c>
      <c r="B28" s="13">
        <v>46065.0</v>
      </c>
      <c r="C28" s="14" t="s">
        <v>139</v>
      </c>
      <c r="D28" s="11" t="s">
        <v>95</v>
      </c>
      <c r="E28" s="11" t="s">
        <v>40</v>
      </c>
      <c r="F28" s="11" t="s">
        <v>31</v>
      </c>
      <c r="G28" s="11" t="s">
        <v>65</v>
      </c>
      <c r="H28" s="11"/>
      <c r="I28" s="15">
        <v>0.0</v>
      </c>
      <c r="J28" s="15">
        <v>22.0</v>
      </c>
      <c r="K28" s="15">
        <f t="shared" si="1"/>
        <v>-22</v>
      </c>
      <c r="L28" s="11" t="s">
        <v>37</v>
      </c>
      <c r="M28" s="11"/>
      <c r="N28" s="11">
        <f t="shared" si="2"/>
        <v>0</v>
      </c>
      <c r="O28" s="21" t="str">
        <f t="shared" si="3"/>
        <v>Q1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1" t="s">
        <v>155</v>
      </c>
      <c r="B29" s="13">
        <v>46068.0</v>
      </c>
      <c r="C29" s="14" t="s">
        <v>139</v>
      </c>
      <c r="D29" s="11" t="s">
        <v>97</v>
      </c>
      <c r="E29" s="11" t="s">
        <v>40</v>
      </c>
      <c r="F29" s="11" t="s">
        <v>2</v>
      </c>
      <c r="G29" s="11" t="s">
        <v>43</v>
      </c>
      <c r="H29" s="11" t="s">
        <v>100</v>
      </c>
      <c r="I29" s="15">
        <v>132.0</v>
      </c>
      <c r="J29" s="15">
        <v>0.0</v>
      </c>
      <c r="K29" s="15">
        <f t="shared" si="1"/>
        <v>132</v>
      </c>
      <c r="L29" s="11" t="s">
        <v>37</v>
      </c>
      <c r="M29" s="11"/>
      <c r="N29" s="11">
        <f t="shared" si="2"/>
        <v>0</v>
      </c>
      <c r="O29" s="21" t="str">
        <f t="shared" si="3"/>
        <v>Q1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1" t="s">
        <v>157</v>
      </c>
      <c r="B30" s="13">
        <v>46069.0</v>
      </c>
      <c r="C30" s="14" t="s">
        <v>139</v>
      </c>
      <c r="D30" s="11" t="s">
        <v>105</v>
      </c>
      <c r="E30" s="11" t="s">
        <v>29</v>
      </c>
      <c r="F30" s="11" t="s">
        <v>31</v>
      </c>
      <c r="G30" s="11" t="s">
        <v>73</v>
      </c>
      <c r="H30" s="11"/>
      <c r="I30" s="15">
        <v>0.0</v>
      </c>
      <c r="J30" s="15">
        <v>110.0</v>
      </c>
      <c r="K30" s="15">
        <f t="shared" si="1"/>
        <v>-110</v>
      </c>
      <c r="L30" s="11" t="s">
        <v>37</v>
      </c>
      <c r="M30" s="11"/>
      <c r="N30" s="11">
        <f t="shared" si="2"/>
        <v>0</v>
      </c>
      <c r="O30" s="21" t="str">
        <f t="shared" si="3"/>
        <v>Q1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1" t="s">
        <v>159</v>
      </c>
      <c r="B31" s="13">
        <v>46071.0</v>
      </c>
      <c r="C31" s="14" t="s">
        <v>139</v>
      </c>
      <c r="D31" s="11" t="s">
        <v>108</v>
      </c>
      <c r="E31" s="11" t="s">
        <v>40</v>
      </c>
      <c r="F31" s="11" t="s">
        <v>31</v>
      </c>
      <c r="G31" s="11" t="s">
        <v>77</v>
      </c>
      <c r="H31" s="11"/>
      <c r="I31" s="15">
        <v>0.0</v>
      </c>
      <c r="J31" s="15">
        <v>120.0</v>
      </c>
      <c r="K31" s="15">
        <f t="shared" si="1"/>
        <v>-120</v>
      </c>
      <c r="L31" s="11" t="s">
        <v>37</v>
      </c>
      <c r="M31" s="11" t="s">
        <v>110</v>
      </c>
      <c r="N31" s="11">
        <f t="shared" si="2"/>
        <v>0</v>
      </c>
      <c r="O31" s="21" t="str">
        <f t="shared" si="3"/>
        <v>Q1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1" t="s">
        <v>161</v>
      </c>
      <c r="B32" s="13">
        <v>46073.0</v>
      </c>
      <c r="C32" s="14" t="s">
        <v>139</v>
      </c>
      <c r="D32" s="11" t="s">
        <v>114</v>
      </c>
      <c r="E32" s="11" t="s">
        <v>40</v>
      </c>
      <c r="F32" s="11" t="s">
        <v>2</v>
      </c>
      <c r="G32" s="11" t="s">
        <v>47</v>
      </c>
      <c r="H32" s="11" t="s">
        <v>99</v>
      </c>
      <c r="I32" s="15">
        <v>245.0</v>
      </c>
      <c r="J32" s="15">
        <v>0.0</v>
      </c>
      <c r="K32" s="15">
        <f t="shared" si="1"/>
        <v>245</v>
      </c>
      <c r="L32" s="11" t="s">
        <v>37</v>
      </c>
      <c r="M32" s="11"/>
      <c r="N32" s="11">
        <f t="shared" si="2"/>
        <v>0</v>
      </c>
      <c r="O32" s="21" t="str">
        <f t="shared" si="3"/>
        <v>Q1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1" t="s">
        <v>163</v>
      </c>
      <c r="B33" s="13">
        <v>46075.0</v>
      </c>
      <c r="C33" s="14" t="s">
        <v>139</v>
      </c>
      <c r="D33" s="11" t="s">
        <v>122</v>
      </c>
      <c r="E33" s="11" t="s">
        <v>29</v>
      </c>
      <c r="F33" s="11" t="s">
        <v>31</v>
      </c>
      <c r="G33" s="11" t="s">
        <v>79</v>
      </c>
      <c r="H33" s="11"/>
      <c r="I33" s="15">
        <v>0.0</v>
      </c>
      <c r="J33" s="15">
        <v>425.0</v>
      </c>
      <c r="K33" s="15">
        <f t="shared" si="1"/>
        <v>-425</v>
      </c>
      <c r="L33" s="11" t="s">
        <v>37</v>
      </c>
      <c r="M33" s="11"/>
      <c r="N33" s="11">
        <f t="shared" si="2"/>
        <v>0</v>
      </c>
      <c r="O33" s="21" t="str">
        <f t="shared" si="3"/>
        <v>Q1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1" t="s">
        <v>165</v>
      </c>
      <c r="B34" s="13">
        <v>46078.0</v>
      </c>
      <c r="C34" s="14" t="s">
        <v>139</v>
      </c>
      <c r="D34" s="11" t="s">
        <v>125</v>
      </c>
      <c r="E34" s="11" t="s">
        <v>40</v>
      </c>
      <c r="F34" s="11" t="s">
        <v>31</v>
      </c>
      <c r="G34" s="11" t="s">
        <v>83</v>
      </c>
      <c r="H34" s="11"/>
      <c r="I34" s="15">
        <v>0.0</v>
      </c>
      <c r="J34" s="15">
        <v>78.0</v>
      </c>
      <c r="K34" s="15">
        <f t="shared" si="1"/>
        <v>-78</v>
      </c>
      <c r="L34" s="11" t="s">
        <v>37</v>
      </c>
      <c r="M34" s="11"/>
      <c r="N34" s="11">
        <f t="shared" si="2"/>
        <v>0</v>
      </c>
      <c r="O34" s="21" t="str">
        <f t="shared" si="3"/>
        <v>Q1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1" t="s">
        <v>166</v>
      </c>
      <c r="B35" s="13">
        <v>46080.0</v>
      </c>
      <c r="C35" s="14" t="s">
        <v>139</v>
      </c>
      <c r="D35" s="11" t="s">
        <v>128</v>
      </c>
      <c r="E35" s="11" t="s">
        <v>40</v>
      </c>
      <c r="F35" s="11" t="s">
        <v>31</v>
      </c>
      <c r="G35" s="11" t="s">
        <v>89</v>
      </c>
      <c r="H35" s="11"/>
      <c r="I35" s="15">
        <v>0.0</v>
      </c>
      <c r="J35" s="15">
        <v>38.0</v>
      </c>
      <c r="K35" s="15">
        <f t="shared" si="1"/>
        <v>-38</v>
      </c>
      <c r="L35" s="11" t="s">
        <v>37</v>
      </c>
      <c r="M35" s="11"/>
      <c r="N35" s="11">
        <f t="shared" si="2"/>
        <v>0</v>
      </c>
      <c r="O35" s="21" t="str">
        <f t="shared" si="3"/>
        <v>Q1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1" t="s">
        <v>167</v>
      </c>
      <c r="B36" s="13">
        <v>46081.0</v>
      </c>
      <c r="C36" s="14" t="s">
        <v>139</v>
      </c>
      <c r="D36" s="11" t="s">
        <v>135</v>
      </c>
      <c r="E36" s="11" t="s">
        <v>29</v>
      </c>
      <c r="F36" s="11" t="s">
        <v>31</v>
      </c>
      <c r="G36" s="11" t="s">
        <v>93</v>
      </c>
      <c r="H36" s="11"/>
      <c r="I36" s="15">
        <v>0.0</v>
      </c>
      <c r="J36" s="15">
        <v>35.0</v>
      </c>
      <c r="K36" s="15">
        <f t="shared" si="1"/>
        <v>-35</v>
      </c>
      <c r="L36" s="11" t="s">
        <v>37</v>
      </c>
      <c r="M36" s="11"/>
      <c r="N36" s="11">
        <f t="shared" si="2"/>
        <v>0</v>
      </c>
      <c r="O36" s="21" t="str">
        <f t="shared" si="3"/>
        <v>Q1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1" t="s">
        <v>168</v>
      </c>
      <c r="B37" s="13">
        <v>46083.0</v>
      </c>
      <c r="C37" s="14" t="s">
        <v>169</v>
      </c>
      <c r="D37" s="11" t="s">
        <v>28</v>
      </c>
      <c r="E37" s="11" t="s">
        <v>29</v>
      </c>
      <c r="F37" s="11" t="s">
        <v>31</v>
      </c>
      <c r="G37" s="11" t="s">
        <v>32</v>
      </c>
      <c r="H37" s="11"/>
      <c r="I37" s="15">
        <v>0.0</v>
      </c>
      <c r="J37" s="15">
        <v>55.0</v>
      </c>
      <c r="K37" s="15">
        <f t="shared" si="1"/>
        <v>-55</v>
      </c>
      <c r="L37" s="11" t="s">
        <v>37</v>
      </c>
      <c r="M37" s="11"/>
      <c r="N37" s="11">
        <f t="shared" si="2"/>
        <v>0</v>
      </c>
      <c r="O37" s="21" t="str">
        <f t="shared" si="3"/>
        <v>Q1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1" t="s">
        <v>170</v>
      </c>
      <c r="B38" s="13">
        <v>46084.0</v>
      </c>
      <c r="C38" s="14" t="s">
        <v>169</v>
      </c>
      <c r="D38" s="11" t="s">
        <v>45</v>
      </c>
      <c r="E38" s="11" t="s">
        <v>40</v>
      </c>
      <c r="F38" s="11" t="s">
        <v>2</v>
      </c>
      <c r="G38" s="11" t="s">
        <v>3</v>
      </c>
      <c r="H38" s="11" t="s">
        <v>46</v>
      </c>
      <c r="I38" s="15">
        <v>1710.0</v>
      </c>
      <c r="J38" s="15">
        <v>0.0</v>
      </c>
      <c r="K38" s="15">
        <f t="shared" si="1"/>
        <v>1710</v>
      </c>
      <c r="L38" s="11" t="s">
        <v>37</v>
      </c>
      <c r="M38" s="11"/>
      <c r="N38" s="11">
        <f t="shared" si="2"/>
        <v>0</v>
      </c>
      <c r="O38" s="21" t="str">
        <f t="shared" si="3"/>
        <v>Q1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1" t="s">
        <v>171</v>
      </c>
      <c r="B39" s="13">
        <v>46085.0</v>
      </c>
      <c r="C39" s="14" t="s">
        <v>169</v>
      </c>
      <c r="D39" s="11" t="s">
        <v>52</v>
      </c>
      <c r="E39" s="11" t="s">
        <v>40</v>
      </c>
      <c r="F39" s="11" t="s">
        <v>31</v>
      </c>
      <c r="G39" s="11" t="s">
        <v>53</v>
      </c>
      <c r="H39" s="11"/>
      <c r="I39" s="15">
        <v>0.0</v>
      </c>
      <c r="J39" s="15">
        <v>240.0</v>
      </c>
      <c r="K39" s="15">
        <f t="shared" si="1"/>
        <v>-240</v>
      </c>
      <c r="L39" s="11" t="s">
        <v>37</v>
      </c>
      <c r="M39" s="11"/>
      <c r="N39" s="11">
        <f t="shared" si="2"/>
        <v>0</v>
      </c>
      <c r="O39" s="21" t="str">
        <f t="shared" si="3"/>
        <v>Q1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1" t="s">
        <v>172</v>
      </c>
      <c r="B40" s="13">
        <v>46086.0</v>
      </c>
      <c r="C40" s="14" t="s">
        <v>169</v>
      </c>
      <c r="D40" s="11" t="s">
        <v>59</v>
      </c>
      <c r="E40" s="11" t="s">
        <v>60</v>
      </c>
      <c r="F40" s="11" t="s">
        <v>2</v>
      </c>
      <c r="G40" s="11" t="s">
        <v>15</v>
      </c>
      <c r="H40" s="11" t="s">
        <v>62</v>
      </c>
      <c r="I40" s="15">
        <v>510.0</v>
      </c>
      <c r="J40" s="15">
        <v>0.0</v>
      </c>
      <c r="K40" s="15">
        <f t="shared" si="1"/>
        <v>510</v>
      </c>
      <c r="L40" s="11" t="s">
        <v>37</v>
      </c>
      <c r="M40" s="11"/>
      <c r="N40" s="11">
        <f t="shared" si="2"/>
        <v>0</v>
      </c>
      <c r="O40" s="21" t="str">
        <f t="shared" si="3"/>
        <v>Q1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1" t="s">
        <v>173</v>
      </c>
      <c r="B41" s="13">
        <v>46088.0</v>
      </c>
      <c r="C41" s="14" t="s">
        <v>169</v>
      </c>
      <c r="D41" s="11" t="s">
        <v>64</v>
      </c>
      <c r="E41" s="11" t="s">
        <v>29</v>
      </c>
      <c r="F41" s="11" t="s">
        <v>31</v>
      </c>
      <c r="G41" s="11" t="s">
        <v>32</v>
      </c>
      <c r="H41" s="11"/>
      <c r="I41" s="15">
        <v>0.0</v>
      </c>
      <c r="J41" s="15">
        <v>29.0</v>
      </c>
      <c r="K41" s="15">
        <f t="shared" si="1"/>
        <v>-29</v>
      </c>
      <c r="L41" s="11" t="s">
        <v>37</v>
      </c>
      <c r="M41" s="11"/>
      <c r="N41" s="11">
        <f t="shared" si="2"/>
        <v>0</v>
      </c>
      <c r="O41" s="21" t="str">
        <f t="shared" si="3"/>
        <v>Q1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1" t="s">
        <v>174</v>
      </c>
      <c r="B42" s="13">
        <v>46089.0</v>
      </c>
      <c r="C42" s="14" t="s">
        <v>169</v>
      </c>
      <c r="D42" s="11" t="s">
        <v>68</v>
      </c>
      <c r="E42" s="11" t="s">
        <v>40</v>
      </c>
      <c r="F42" s="11" t="s">
        <v>2</v>
      </c>
      <c r="G42" s="11" t="s">
        <v>26</v>
      </c>
      <c r="H42" s="11" t="s">
        <v>69</v>
      </c>
      <c r="I42" s="15">
        <v>1850.0</v>
      </c>
      <c r="J42" s="15">
        <v>0.0</v>
      </c>
      <c r="K42" s="15">
        <f t="shared" si="1"/>
        <v>1850</v>
      </c>
      <c r="L42" s="11" t="s">
        <v>37</v>
      </c>
      <c r="M42" s="11"/>
      <c r="N42" s="11">
        <f t="shared" si="2"/>
        <v>0</v>
      </c>
      <c r="O42" s="21" t="str">
        <f t="shared" si="3"/>
        <v>Q1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1" t="s">
        <v>175</v>
      </c>
      <c r="B43" s="13">
        <v>46090.0</v>
      </c>
      <c r="C43" s="14" t="s">
        <v>169</v>
      </c>
      <c r="D43" s="11" t="s">
        <v>76</v>
      </c>
      <c r="E43" s="11" t="s">
        <v>29</v>
      </c>
      <c r="F43" s="11" t="s">
        <v>31</v>
      </c>
      <c r="G43" s="11" t="s">
        <v>32</v>
      </c>
      <c r="H43" s="11"/>
      <c r="I43" s="15">
        <v>0.0</v>
      </c>
      <c r="J43" s="15">
        <v>15.0</v>
      </c>
      <c r="K43" s="15">
        <f t="shared" si="1"/>
        <v>-15</v>
      </c>
      <c r="L43" s="11" t="s">
        <v>37</v>
      </c>
      <c r="M43" s="11"/>
      <c r="N43" s="11">
        <f t="shared" si="2"/>
        <v>0</v>
      </c>
      <c r="O43" s="21" t="str">
        <f t="shared" si="3"/>
        <v>Q1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1" t="s">
        <v>176</v>
      </c>
      <c r="B44" s="13">
        <v>46092.0</v>
      </c>
      <c r="C44" s="14" t="s">
        <v>169</v>
      </c>
      <c r="D44" s="11" t="s">
        <v>177</v>
      </c>
      <c r="E44" s="11" t="s">
        <v>29</v>
      </c>
      <c r="F44" s="11" t="s">
        <v>31</v>
      </c>
      <c r="G44" s="11" t="s">
        <v>70</v>
      </c>
      <c r="H44" s="11"/>
      <c r="I44" s="15">
        <v>0.0</v>
      </c>
      <c r="J44" s="15">
        <v>680.0</v>
      </c>
      <c r="K44" s="15">
        <f t="shared" si="1"/>
        <v>-680</v>
      </c>
      <c r="L44" s="11" t="s">
        <v>37</v>
      </c>
      <c r="M44" s="11" t="s">
        <v>84</v>
      </c>
      <c r="N44" s="11">
        <f t="shared" si="2"/>
        <v>0</v>
      </c>
      <c r="O44" s="21" t="str">
        <f t="shared" si="3"/>
        <v>Q1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1" t="s">
        <v>178</v>
      </c>
      <c r="B45" s="13">
        <v>46093.0</v>
      </c>
      <c r="C45" s="14" t="s">
        <v>169</v>
      </c>
      <c r="D45" s="11" t="s">
        <v>87</v>
      </c>
      <c r="E45" s="11" t="s">
        <v>40</v>
      </c>
      <c r="F45" s="11" t="s">
        <v>2</v>
      </c>
      <c r="G45" s="11" t="s">
        <v>39</v>
      </c>
      <c r="H45" s="11" t="s">
        <v>88</v>
      </c>
      <c r="I45" s="15">
        <v>790.0</v>
      </c>
      <c r="J45" s="15">
        <v>0.0</v>
      </c>
      <c r="K45" s="15">
        <f t="shared" si="1"/>
        <v>790</v>
      </c>
      <c r="L45" s="11" t="s">
        <v>37</v>
      </c>
      <c r="M45" s="11"/>
      <c r="N45" s="11">
        <f t="shared" si="2"/>
        <v>0</v>
      </c>
      <c r="O45" s="21" t="str">
        <f t="shared" si="3"/>
        <v>Q1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1" t="s">
        <v>179</v>
      </c>
      <c r="B46" s="13">
        <v>46093.0</v>
      </c>
      <c r="C46" s="14" t="s">
        <v>169</v>
      </c>
      <c r="D46" s="11" t="s">
        <v>95</v>
      </c>
      <c r="E46" s="11" t="s">
        <v>40</v>
      </c>
      <c r="F46" s="11" t="s">
        <v>31</v>
      </c>
      <c r="G46" s="11" t="s">
        <v>65</v>
      </c>
      <c r="H46" s="11"/>
      <c r="I46" s="15">
        <v>0.0</v>
      </c>
      <c r="J46" s="15">
        <v>26.0</v>
      </c>
      <c r="K46" s="15">
        <f t="shared" si="1"/>
        <v>-26</v>
      </c>
      <c r="L46" s="11" t="s">
        <v>37</v>
      </c>
      <c r="M46" s="11"/>
      <c r="N46" s="11">
        <f t="shared" si="2"/>
        <v>0</v>
      </c>
      <c r="O46" s="21" t="str">
        <f t="shared" si="3"/>
        <v>Q1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1" t="s">
        <v>180</v>
      </c>
      <c r="B47" s="13">
        <v>46096.0</v>
      </c>
      <c r="C47" s="14" t="s">
        <v>169</v>
      </c>
      <c r="D47" s="11" t="s">
        <v>97</v>
      </c>
      <c r="E47" s="11" t="s">
        <v>40</v>
      </c>
      <c r="F47" s="11" t="s">
        <v>2</v>
      </c>
      <c r="G47" s="11" t="s">
        <v>43</v>
      </c>
      <c r="H47" s="11" t="s">
        <v>100</v>
      </c>
      <c r="I47" s="15">
        <v>148.0</v>
      </c>
      <c r="J47" s="15">
        <v>0.0</v>
      </c>
      <c r="K47" s="15">
        <f t="shared" si="1"/>
        <v>148</v>
      </c>
      <c r="L47" s="11" t="s">
        <v>37</v>
      </c>
      <c r="M47" s="11"/>
      <c r="N47" s="11">
        <f t="shared" si="2"/>
        <v>0</v>
      </c>
      <c r="O47" s="21" t="str">
        <f t="shared" si="3"/>
        <v>Q1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1" t="s">
        <v>183</v>
      </c>
      <c r="B48" s="13">
        <v>46097.0</v>
      </c>
      <c r="C48" s="14" t="s">
        <v>169</v>
      </c>
      <c r="D48" s="11" t="s">
        <v>105</v>
      </c>
      <c r="E48" s="11" t="s">
        <v>29</v>
      </c>
      <c r="F48" s="11" t="s">
        <v>31</v>
      </c>
      <c r="G48" s="11" t="s">
        <v>73</v>
      </c>
      <c r="H48" s="11"/>
      <c r="I48" s="15">
        <v>0.0</v>
      </c>
      <c r="J48" s="15">
        <v>130.0</v>
      </c>
      <c r="K48" s="15">
        <f t="shared" si="1"/>
        <v>-130</v>
      </c>
      <c r="L48" s="11" t="s">
        <v>37</v>
      </c>
      <c r="M48" s="11"/>
      <c r="N48" s="11">
        <f t="shared" si="2"/>
        <v>0</v>
      </c>
      <c r="O48" s="21" t="str">
        <f t="shared" si="3"/>
        <v>Q1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1" t="s">
        <v>184</v>
      </c>
      <c r="B49" s="13">
        <v>46099.0</v>
      </c>
      <c r="C49" s="14" t="s">
        <v>169</v>
      </c>
      <c r="D49" s="11" t="s">
        <v>108</v>
      </c>
      <c r="E49" s="11" t="s">
        <v>40</v>
      </c>
      <c r="F49" s="11" t="s">
        <v>31</v>
      </c>
      <c r="G49" s="11" t="s">
        <v>77</v>
      </c>
      <c r="H49" s="11"/>
      <c r="I49" s="15">
        <v>0.0</v>
      </c>
      <c r="J49" s="15">
        <v>120.0</v>
      </c>
      <c r="K49" s="15">
        <f t="shared" si="1"/>
        <v>-120</v>
      </c>
      <c r="L49" s="11" t="s">
        <v>37</v>
      </c>
      <c r="M49" s="11" t="s">
        <v>110</v>
      </c>
      <c r="N49" s="11">
        <f t="shared" si="2"/>
        <v>0</v>
      </c>
      <c r="O49" s="21" t="str">
        <f t="shared" si="3"/>
        <v>Q1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1" t="s">
        <v>187</v>
      </c>
      <c r="B50" s="13">
        <v>46101.0</v>
      </c>
      <c r="C50" s="14" t="s">
        <v>169</v>
      </c>
      <c r="D50" s="11" t="s">
        <v>114</v>
      </c>
      <c r="E50" s="11" t="s">
        <v>40</v>
      </c>
      <c r="F50" s="11" t="s">
        <v>2</v>
      </c>
      <c r="G50" s="11" t="s">
        <v>47</v>
      </c>
      <c r="H50" s="11" t="s">
        <v>99</v>
      </c>
      <c r="I50" s="15">
        <v>265.0</v>
      </c>
      <c r="J50" s="15">
        <v>0.0</v>
      </c>
      <c r="K50" s="15">
        <f t="shared" si="1"/>
        <v>265</v>
      </c>
      <c r="L50" s="11" t="s">
        <v>37</v>
      </c>
      <c r="M50" s="11"/>
      <c r="N50" s="11">
        <f t="shared" si="2"/>
        <v>0</v>
      </c>
      <c r="O50" s="21" t="str">
        <f t="shared" si="3"/>
        <v>Q1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1" t="s">
        <v>203</v>
      </c>
      <c r="B51" s="13">
        <v>46103.0</v>
      </c>
      <c r="C51" s="14" t="s">
        <v>169</v>
      </c>
      <c r="D51" s="11" t="s">
        <v>122</v>
      </c>
      <c r="E51" s="11" t="s">
        <v>29</v>
      </c>
      <c r="F51" s="11" t="s">
        <v>31</v>
      </c>
      <c r="G51" s="11" t="s">
        <v>79</v>
      </c>
      <c r="H51" s="11"/>
      <c r="I51" s="15">
        <v>0.0</v>
      </c>
      <c r="J51" s="15">
        <v>475.0</v>
      </c>
      <c r="K51" s="15">
        <f t="shared" si="1"/>
        <v>-475</v>
      </c>
      <c r="L51" s="11" t="s">
        <v>37</v>
      </c>
      <c r="M51" s="11"/>
      <c r="N51" s="11">
        <f t="shared" si="2"/>
        <v>0</v>
      </c>
      <c r="O51" s="21" t="str">
        <f t="shared" si="3"/>
        <v>Q1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1" t="s">
        <v>208</v>
      </c>
      <c r="B52" s="13">
        <v>46106.0</v>
      </c>
      <c r="C52" s="14" t="s">
        <v>169</v>
      </c>
      <c r="D52" s="11" t="s">
        <v>125</v>
      </c>
      <c r="E52" s="11" t="s">
        <v>40</v>
      </c>
      <c r="F52" s="11" t="s">
        <v>31</v>
      </c>
      <c r="G52" s="11" t="s">
        <v>83</v>
      </c>
      <c r="H52" s="11"/>
      <c r="I52" s="15">
        <v>0.0</v>
      </c>
      <c r="J52" s="15">
        <v>92.0</v>
      </c>
      <c r="K52" s="15">
        <f t="shared" si="1"/>
        <v>-92</v>
      </c>
      <c r="L52" s="11" t="s">
        <v>37</v>
      </c>
      <c r="M52" s="11"/>
      <c r="N52" s="11">
        <f t="shared" si="2"/>
        <v>0</v>
      </c>
      <c r="O52" s="21" t="str">
        <f t="shared" si="3"/>
        <v>Q1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1" t="s">
        <v>209</v>
      </c>
      <c r="B53" s="13">
        <v>46108.0</v>
      </c>
      <c r="C53" s="14" t="s">
        <v>169</v>
      </c>
      <c r="D53" s="11" t="s">
        <v>128</v>
      </c>
      <c r="E53" s="11" t="s">
        <v>40</v>
      </c>
      <c r="F53" s="11" t="s">
        <v>31</v>
      </c>
      <c r="G53" s="11" t="s">
        <v>89</v>
      </c>
      <c r="H53" s="11"/>
      <c r="I53" s="15">
        <v>0.0</v>
      </c>
      <c r="J53" s="15">
        <v>51.0</v>
      </c>
      <c r="K53" s="15">
        <f t="shared" si="1"/>
        <v>-51</v>
      </c>
      <c r="L53" s="11" t="s">
        <v>37</v>
      </c>
      <c r="M53" s="11"/>
      <c r="N53" s="11">
        <f t="shared" si="2"/>
        <v>0</v>
      </c>
      <c r="O53" s="21" t="str">
        <f t="shared" si="3"/>
        <v>Q1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1" t="s">
        <v>210</v>
      </c>
      <c r="B54" s="13">
        <v>46109.0</v>
      </c>
      <c r="C54" s="14" t="s">
        <v>169</v>
      </c>
      <c r="D54" s="11" t="s">
        <v>135</v>
      </c>
      <c r="E54" s="11" t="s">
        <v>29</v>
      </c>
      <c r="F54" s="11" t="s">
        <v>31</v>
      </c>
      <c r="G54" s="11" t="s">
        <v>93</v>
      </c>
      <c r="H54" s="11"/>
      <c r="I54" s="15">
        <v>0.0</v>
      </c>
      <c r="J54" s="15">
        <v>57.0</v>
      </c>
      <c r="K54" s="15">
        <f t="shared" si="1"/>
        <v>-57</v>
      </c>
      <c r="L54" s="11" t="s">
        <v>37</v>
      </c>
      <c r="M54" s="11"/>
      <c r="N54" s="11">
        <f t="shared" si="2"/>
        <v>0</v>
      </c>
      <c r="O54" s="21" t="str">
        <f t="shared" si="3"/>
        <v>Q1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1" t="s">
        <v>211</v>
      </c>
      <c r="B55" s="88">
        <v>46113.0</v>
      </c>
      <c r="C55" s="89">
        <v>46113.0</v>
      </c>
      <c r="D55" s="90" t="s">
        <v>45</v>
      </c>
      <c r="E55" s="90" t="s">
        <v>40</v>
      </c>
      <c r="F55" s="90" t="s">
        <v>2</v>
      </c>
      <c r="G55" s="90" t="s">
        <v>3</v>
      </c>
      <c r="H55" s="90" t="s">
        <v>46</v>
      </c>
      <c r="I55" s="91">
        <v>1765.0</v>
      </c>
      <c r="J55" s="91">
        <v>0.0</v>
      </c>
      <c r="K55" s="92">
        <f t="shared" si="1"/>
        <v>1765</v>
      </c>
      <c r="L55" s="90" t="s">
        <v>37</v>
      </c>
      <c r="M55" s="21"/>
      <c r="N55" s="21">
        <f t="shared" si="2"/>
        <v>0</v>
      </c>
      <c r="O55" s="21" t="str">
        <f t="shared" si="3"/>
        <v>Q2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0" t="s">
        <v>212</v>
      </c>
      <c r="B56" s="88">
        <v>46114.0</v>
      </c>
      <c r="C56" s="89">
        <v>46113.0</v>
      </c>
      <c r="D56" s="90" t="s">
        <v>28</v>
      </c>
      <c r="E56" s="90" t="s">
        <v>29</v>
      </c>
      <c r="F56" s="90" t="s">
        <v>31</v>
      </c>
      <c r="G56" s="90" t="s">
        <v>32</v>
      </c>
      <c r="H56" s="90"/>
      <c r="I56" s="91">
        <v>0.0</v>
      </c>
      <c r="J56" s="91">
        <v>55.0</v>
      </c>
      <c r="K56" s="91">
        <v>-55.0</v>
      </c>
      <c r="L56" s="90" t="s">
        <v>37</v>
      </c>
      <c r="M56" s="21"/>
      <c r="N56" s="90">
        <v>0.0</v>
      </c>
      <c r="O56" s="90" t="s">
        <v>213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3" t="s">
        <v>214</v>
      </c>
      <c r="B57" s="88">
        <v>46116.0</v>
      </c>
      <c r="C57" s="89">
        <v>46113.0</v>
      </c>
      <c r="D57" s="90" t="s">
        <v>52</v>
      </c>
      <c r="E57" s="90" t="s">
        <v>40</v>
      </c>
      <c r="F57" s="90" t="s">
        <v>31</v>
      </c>
      <c r="G57" s="90" t="s">
        <v>53</v>
      </c>
      <c r="H57" s="21"/>
      <c r="I57" s="91">
        <v>0.0</v>
      </c>
      <c r="J57" s="91">
        <v>248.0</v>
      </c>
      <c r="K57" s="91">
        <v>-248.0</v>
      </c>
      <c r="L57" s="90" t="s">
        <v>37</v>
      </c>
      <c r="M57" s="21"/>
      <c r="N57" s="90">
        <v>0.0</v>
      </c>
      <c r="O57" s="90" t="s">
        <v>213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3" t="s">
        <v>215</v>
      </c>
      <c r="B58" s="88">
        <v>46117.0</v>
      </c>
      <c r="C58" s="89">
        <v>46113.0</v>
      </c>
      <c r="D58" s="90" t="s">
        <v>59</v>
      </c>
      <c r="E58" s="90" t="s">
        <v>60</v>
      </c>
      <c r="F58" s="90" t="s">
        <v>2</v>
      </c>
      <c r="G58" s="90" t="s">
        <v>15</v>
      </c>
      <c r="H58" s="90" t="s">
        <v>62</v>
      </c>
      <c r="I58" s="91">
        <v>535.0</v>
      </c>
      <c r="J58" s="91">
        <v>0.0</v>
      </c>
      <c r="K58" s="91">
        <v>535.0</v>
      </c>
      <c r="L58" s="90" t="s">
        <v>37</v>
      </c>
      <c r="M58" s="21"/>
      <c r="N58" s="90">
        <v>0.0</v>
      </c>
      <c r="O58" s="90" t="s">
        <v>213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0" t="s">
        <v>216</v>
      </c>
      <c r="B59" s="88">
        <v>46119.0</v>
      </c>
      <c r="C59" s="89">
        <v>46113.0</v>
      </c>
      <c r="D59" s="90" t="s">
        <v>95</v>
      </c>
      <c r="E59" s="90" t="s">
        <v>40</v>
      </c>
      <c r="F59" s="90" t="s">
        <v>31</v>
      </c>
      <c r="G59" s="90" t="s">
        <v>65</v>
      </c>
      <c r="H59" s="90"/>
      <c r="I59" s="91">
        <v>0.0</v>
      </c>
      <c r="J59" s="91">
        <v>27.0</v>
      </c>
      <c r="K59" s="91">
        <v>-27.0</v>
      </c>
      <c r="L59" s="90" t="s">
        <v>37</v>
      </c>
      <c r="M59" s="21"/>
      <c r="N59" s="90">
        <v>0.0</v>
      </c>
      <c r="O59" s="90" t="s">
        <v>213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3" t="s">
        <v>217</v>
      </c>
      <c r="B60" s="88">
        <v>46120.0</v>
      </c>
      <c r="C60" s="89">
        <v>46113.0</v>
      </c>
      <c r="D60" s="90" t="s">
        <v>68</v>
      </c>
      <c r="E60" s="90" t="s">
        <v>40</v>
      </c>
      <c r="F60" s="90" t="s">
        <v>2</v>
      </c>
      <c r="G60" s="90" t="s">
        <v>26</v>
      </c>
      <c r="H60" s="90" t="s">
        <v>69</v>
      </c>
      <c r="I60" s="91">
        <v>2000.0</v>
      </c>
      <c r="J60" s="91">
        <v>0.0</v>
      </c>
      <c r="K60" s="91">
        <v>2000.0</v>
      </c>
      <c r="L60" s="90" t="s">
        <v>37</v>
      </c>
      <c r="M60" s="21"/>
      <c r="N60" s="90">
        <v>0.0</v>
      </c>
      <c r="O60" s="90" t="s">
        <v>213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0" t="s">
        <v>218</v>
      </c>
      <c r="B61" s="88">
        <v>46122.0</v>
      </c>
      <c r="C61" s="89">
        <v>46113.0</v>
      </c>
      <c r="D61" s="90" t="s">
        <v>64</v>
      </c>
      <c r="E61" s="90" t="s">
        <v>29</v>
      </c>
      <c r="F61" s="90" t="s">
        <v>31</v>
      </c>
      <c r="G61" s="90" t="s">
        <v>32</v>
      </c>
      <c r="H61" s="90"/>
      <c r="I61" s="91">
        <v>0.0</v>
      </c>
      <c r="J61" s="91">
        <v>29.0</v>
      </c>
      <c r="K61" s="91">
        <v>-29.0</v>
      </c>
      <c r="L61" s="90" t="s">
        <v>37</v>
      </c>
      <c r="M61" s="21"/>
      <c r="N61" s="90">
        <v>0.0</v>
      </c>
      <c r="O61" s="90" t="s">
        <v>213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3" t="s">
        <v>219</v>
      </c>
      <c r="B62" s="88">
        <v>46124.0</v>
      </c>
      <c r="C62" s="89">
        <v>46113.0</v>
      </c>
      <c r="D62" s="90" t="s">
        <v>87</v>
      </c>
      <c r="E62" s="90" t="s">
        <v>40</v>
      </c>
      <c r="F62" s="90" t="s">
        <v>2</v>
      </c>
      <c r="G62" s="90" t="s">
        <v>39</v>
      </c>
      <c r="H62" s="90" t="s">
        <v>88</v>
      </c>
      <c r="I62" s="91">
        <v>825.0</v>
      </c>
      <c r="J62" s="91">
        <v>0.0</v>
      </c>
      <c r="K62" s="91">
        <v>825.0</v>
      </c>
      <c r="L62" s="90" t="s">
        <v>37</v>
      </c>
      <c r="M62" s="21"/>
      <c r="N62" s="90">
        <v>0.0</v>
      </c>
      <c r="O62" s="90" t="s">
        <v>213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0" t="s">
        <v>220</v>
      </c>
      <c r="B63" s="88">
        <v>46126.0</v>
      </c>
      <c r="C63" s="89">
        <v>46113.0</v>
      </c>
      <c r="D63" s="90" t="s">
        <v>76</v>
      </c>
      <c r="E63" s="90" t="s">
        <v>29</v>
      </c>
      <c r="F63" s="90" t="s">
        <v>31</v>
      </c>
      <c r="G63" s="90" t="s">
        <v>32</v>
      </c>
      <c r="H63" s="90"/>
      <c r="I63" s="91">
        <v>0.0</v>
      </c>
      <c r="J63" s="91">
        <v>15.0</v>
      </c>
      <c r="K63" s="91">
        <v>-15.0</v>
      </c>
      <c r="L63" s="90" t="s">
        <v>37</v>
      </c>
      <c r="M63" s="21"/>
      <c r="N63" s="90">
        <v>0.0</v>
      </c>
      <c r="O63" s="90" t="s">
        <v>213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3" t="s">
        <v>221</v>
      </c>
      <c r="B64" s="88">
        <v>46127.0</v>
      </c>
      <c r="C64" s="89">
        <v>46113.0</v>
      </c>
      <c r="D64" s="90" t="s">
        <v>97</v>
      </c>
      <c r="E64" s="90" t="s">
        <v>40</v>
      </c>
      <c r="F64" s="90" t="s">
        <v>2</v>
      </c>
      <c r="G64" s="90" t="s">
        <v>43</v>
      </c>
      <c r="H64" s="90" t="s">
        <v>100</v>
      </c>
      <c r="I64" s="91">
        <v>156.0</v>
      </c>
      <c r="J64" s="91">
        <v>0.0</v>
      </c>
      <c r="K64" s="91">
        <v>156.0</v>
      </c>
      <c r="L64" s="90" t="s">
        <v>37</v>
      </c>
      <c r="M64" s="21"/>
      <c r="N64" s="90">
        <v>0.0</v>
      </c>
      <c r="O64" s="90" t="s">
        <v>213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0" t="s">
        <v>222</v>
      </c>
      <c r="B65" s="88">
        <v>46129.0</v>
      </c>
      <c r="C65" s="89">
        <v>46113.0</v>
      </c>
      <c r="D65" s="90" t="s">
        <v>223</v>
      </c>
      <c r="E65" s="90" t="s">
        <v>29</v>
      </c>
      <c r="F65" s="90" t="s">
        <v>31</v>
      </c>
      <c r="G65" s="90" t="s">
        <v>70</v>
      </c>
      <c r="H65" s="90"/>
      <c r="I65" s="91">
        <v>0.0</v>
      </c>
      <c r="J65" s="91">
        <v>740.0</v>
      </c>
      <c r="K65" s="91">
        <v>-740.0</v>
      </c>
      <c r="L65" s="90" t="s">
        <v>37</v>
      </c>
      <c r="M65" s="90" t="s">
        <v>84</v>
      </c>
      <c r="N65" s="90">
        <v>0.0</v>
      </c>
      <c r="O65" s="90" t="s">
        <v>213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0" t="s">
        <v>224</v>
      </c>
      <c r="B66" s="88">
        <v>46131.0</v>
      </c>
      <c r="C66" s="89">
        <v>46113.0</v>
      </c>
      <c r="D66" s="90" t="s">
        <v>105</v>
      </c>
      <c r="E66" s="90" t="s">
        <v>29</v>
      </c>
      <c r="F66" s="90" t="s">
        <v>31</v>
      </c>
      <c r="G66" s="90" t="s">
        <v>73</v>
      </c>
      <c r="H66" s="90"/>
      <c r="I66" s="91">
        <v>0.0</v>
      </c>
      <c r="J66" s="91">
        <v>135.0</v>
      </c>
      <c r="K66" s="91">
        <v>-135.0</v>
      </c>
      <c r="L66" s="90" t="s">
        <v>37</v>
      </c>
      <c r="M66" s="21"/>
      <c r="N66" s="90">
        <v>0.0</v>
      </c>
      <c r="O66" s="90" t="s">
        <v>213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3" t="s">
        <v>225</v>
      </c>
      <c r="B67" s="88">
        <v>46132.0</v>
      </c>
      <c r="C67" s="89">
        <v>46113.0</v>
      </c>
      <c r="D67" s="90" t="s">
        <v>114</v>
      </c>
      <c r="E67" s="90" t="s">
        <v>40</v>
      </c>
      <c r="F67" s="90" t="s">
        <v>2</v>
      </c>
      <c r="G67" s="90" t="s">
        <v>47</v>
      </c>
      <c r="H67" s="90" t="s">
        <v>99</v>
      </c>
      <c r="I67" s="91">
        <v>280.0</v>
      </c>
      <c r="J67" s="91">
        <v>0.0</v>
      </c>
      <c r="K67" s="91">
        <v>280.0</v>
      </c>
      <c r="L67" s="90" t="s">
        <v>37</v>
      </c>
      <c r="M67" s="21"/>
      <c r="N67" s="90">
        <v>0.0</v>
      </c>
      <c r="O67" s="90" t="s">
        <v>213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0" t="s">
        <v>226</v>
      </c>
      <c r="B68" s="88">
        <v>46134.0</v>
      </c>
      <c r="C68" s="89">
        <v>46113.0</v>
      </c>
      <c r="D68" s="90" t="s">
        <v>108</v>
      </c>
      <c r="E68" s="90" t="s">
        <v>40</v>
      </c>
      <c r="F68" s="90" t="s">
        <v>31</v>
      </c>
      <c r="G68" s="90" t="s">
        <v>77</v>
      </c>
      <c r="H68" s="90"/>
      <c r="I68" s="91">
        <v>0.0</v>
      </c>
      <c r="J68" s="91">
        <v>120.0</v>
      </c>
      <c r="K68" s="91">
        <v>-120.0</v>
      </c>
      <c r="L68" s="90" t="s">
        <v>37</v>
      </c>
      <c r="M68" s="90" t="s">
        <v>110</v>
      </c>
      <c r="N68" s="90">
        <v>0.0</v>
      </c>
      <c r="O68" s="90" t="s">
        <v>213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0" t="s">
        <v>227</v>
      </c>
      <c r="B69" s="88">
        <v>46136.0</v>
      </c>
      <c r="C69" s="89">
        <v>46113.0</v>
      </c>
      <c r="D69" s="90" t="s">
        <v>228</v>
      </c>
      <c r="E69" s="90" t="s">
        <v>29</v>
      </c>
      <c r="F69" s="90" t="s">
        <v>31</v>
      </c>
      <c r="G69" s="90" t="s">
        <v>79</v>
      </c>
      <c r="H69" s="90"/>
      <c r="I69" s="91">
        <v>0.0</v>
      </c>
      <c r="J69" s="91">
        <v>495.0</v>
      </c>
      <c r="K69" s="91">
        <v>-495.0</v>
      </c>
      <c r="L69" s="90" t="s">
        <v>37</v>
      </c>
      <c r="M69" s="21"/>
      <c r="N69" s="90">
        <v>0.0</v>
      </c>
      <c r="O69" s="90" t="s">
        <v>213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0" t="s">
        <v>229</v>
      </c>
      <c r="B70" s="88">
        <v>46138.0</v>
      </c>
      <c r="C70" s="89">
        <v>46113.0</v>
      </c>
      <c r="D70" s="90" t="s">
        <v>125</v>
      </c>
      <c r="E70" s="90" t="s">
        <v>40</v>
      </c>
      <c r="F70" s="90" t="s">
        <v>31</v>
      </c>
      <c r="G70" s="90" t="s">
        <v>83</v>
      </c>
      <c r="H70" s="90"/>
      <c r="I70" s="91">
        <v>0.0</v>
      </c>
      <c r="J70" s="91">
        <v>105.0</v>
      </c>
      <c r="K70" s="91">
        <v>-105.0</v>
      </c>
      <c r="L70" s="90" t="s">
        <v>37</v>
      </c>
      <c r="M70" s="21"/>
      <c r="N70" s="90">
        <v>0.0</v>
      </c>
      <c r="O70" s="90" t="s">
        <v>213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0" t="s">
        <v>230</v>
      </c>
      <c r="B71" s="88">
        <v>46140.0</v>
      </c>
      <c r="C71" s="89">
        <v>46113.0</v>
      </c>
      <c r="D71" s="90" t="s">
        <v>128</v>
      </c>
      <c r="E71" s="90" t="s">
        <v>40</v>
      </c>
      <c r="F71" s="90" t="s">
        <v>31</v>
      </c>
      <c r="G71" s="90" t="s">
        <v>89</v>
      </c>
      <c r="H71" s="90"/>
      <c r="I71" s="91">
        <v>0.0</v>
      </c>
      <c r="J71" s="91">
        <v>60.0</v>
      </c>
      <c r="K71" s="91">
        <v>-60.0</v>
      </c>
      <c r="L71" s="90" t="s">
        <v>37</v>
      </c>
      <c r="M71" s="21"/>
      <c r="N71" s="90">
        <v>0.0</v>
      </c>
      <c r="O71" s="90" t="s">
        <v>213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0" t="s">
        <v>231</v>
      </c>
      <c r="B72" s="88">
        <v>46141.0</v>
      </c>
      <c r="C72" s="89">
        <v>46113.0</v>
      </c>
      <c r="D72" s="90" t="s">
        <v>135</v>
      </c>
      <c r="E72" s="90" t="s">
        <v>29</v>
      </c>
      <c r="F72" s="90" t="s">
        <v>31</v>
      </c>
      <c r="G72" s="90" t="s">
        <v>93</v>
      </c>
      <c r="H72" s="90"/>
      <c r="I72" s="91">
        <v>0.0</v>
      </c>
      <c r="J72" s="91">
        <v>55.0</v>
      </c>
      <c r="K72" s="91">
        <v>-55.0</v>
      </c>
      <c r="L72" s="90" t="s">
        <v>37</v>
      </c>
      <c r="M72" s="21"/>
      <c r="N72" s="90">
        <v>0.0</v>
      </c>
      <c r="O72" s="90" t="s">
        <v>213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3" t="s">
        <v>232</v>
      </c>
      <c r="B73" s="88">
        <v>46144.0</v>
      </c>
      <c r="C73" s="89">
        <v>46143.0</v>
      </c>
      <c r="D73" s="90" t="s">
        <v>28</v>
      </c>
      <c r="E73" s="90" t="s">
        <v>29</v>
      </c>
      <c r="F73" s="90" t="s">
        <v>31</v>
      </c>
      <c r="G73" s="90" t="s">
        <v>32</v>
      </c>
      <c r="H73" s="21"/>
      <c r="I73" s="91">
        <v>0.0</v>
      </c>
      <c r="J73" s="91">
        <v>55.0</v>
      </c>
      <c r="K73" s="91">
        <v>-55.0</v>
      </c>
      <c r="L73" s="90" t="s">
        <v>37</v>
      </c>
      <c r="M73" s="21"/>
      <c r="N73" s="90">
        <v>0.0</v>
      </c>
      <c r="O73" s="90" t="s">
        <v>213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3" t="s">
        <v>233</v>
      </c>
      <c r="B74" s="88">
        <v>46145.0</v>
      </c>
      <c r="C74" s="89">
        <v>46143.0</v>
      </c>
      <c r="D74" s="90" t="s">
        <v>45</v>
      </c>
      <c r="E74" s="90" t="s">
        <v>40</v>
      </c>
      <c r="F74" s="90" t="s">
        <v>2</v>
      </c>
      <c r="G74" s="90" t="s">
        <v>3</v>
      </c>
      <c r="H74" s="90" t="s">
        <v>46</v>
      </c>
      <c r="I74" s="91">
        <v>1840.0</v>
      </c>
      <c r="J74" s="91">
        <v>0.0</v>
      </c>
      <c r="K74" s="91">
        <v>1840.0</v>
      </c>
      <c r="L74" s="90" t="s">
        <v>37</v>
      </c>
      <c r="M74" s="21"/>
      <c r="N74" s="90">
        <v>0.0</v>
      </c>
      <c r="O74" s="90" t="s">
        <v>213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3" t="s">
        <v>234</v>
      </c>
      <c r="B75" s="88">
        <v>46146.0</v>
      </c>
      <c r="C75" s="89">
        <v>46143.0</v>
      </c>
      <c r="D75" s="90" t="s">
        <v>52</v>
      </c>
      <c r="E75" s="90" t="s">
        <v>40</v>
      </c>
      <c r="F75" s="90" t="s">
        <v>31</v>
      </c>
      <c r="G75" s="90" t="s">
        <v>53</v>
      </c>
      <c r="H75" s="21"/>
      <c r="I75" s="91">
        <v>0.0</v>
      </c>
      <c r="J75" s="91">
        <v>258.0</v>
      </c>
      <c r="K75" s="91">
        <v>-258.0</v>
      </c>
      <c r="L75" s="90" t="s">
        <v>37</v>
      </c>
      <c r="M75" s="21"/>
      <c r="N75" s="90">
        <v>0.0</v>
      </c>
      <c r="O75" s="90" t="s">
        <v>213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3" t="s">
        <v>235</v>
      </c>
      <c r="B76" s="88">
        <v>46148.0</v>
      </c>
      <c r="C76" s="89">
        <v>46143.0</v>
      </c>
      <c r="D76" s="90" t="s">
        <v>59</v>
      </c>
      <c r="E76" s="90" t="s">
        <v>60</v>
      </c>
      <c r="F76" s="90" t="s">
        <v>2</v>
      </c>
      <c r="G76" s="90" t="s">
        <v>15</v>
      </c>
      <c r="H76" s="90" t="s">
        <v>62</v>
      </c>
      <c r="I76" s="91">
        <v>490.0</v>
      </c>
      <c r="J76" s="91">
        <v>0.0</v>
      </c>
      <c r="K76" s="91">
        <v>490.0</v>
      </c>
      <c r="L76" s="90" t="s">
        <v>37</v>
      </c>
      <c r="M76" s="21"/>
      <c r="N76" s="90">
        <v>0.0</v>
      </c>
      <c r="O76" s="90" t="s">
        <v>213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3" t="s">
        <v>236</v>
      </c>
      <c r="B77" s="88">
        <v>46150.0</v>
      </c>
      <c r="C77" s="89">
        <v>46143.0</v>
      </c>
      <c r="D77" s="90" t="s">
        <v>95</v>
      </c>
      <c r="E77" s="90" t="s">
        <v>40</v>
      </c>
      <c r="F77" s="90" t="s">
        <v>31</v>
      </c>
      <c r="G77" s="90" t="s">
        <v>65</v>
      </c>
      <c r="H77" s="21"/>
      <c r="I77" s="91">
        <v>0.0</v>
      </c>
      <c r="J77" s="91">
        <v>29.0</v>
      </c>
      <c r="K77" s="91">
        <v>-29.0</v>
      </c>
      <c r="L77" s="90" t="s">
        <v>37</v>
      </c>
      <c r="M77" s="21"/>
      <c r="N77" s="90">
        <v>0.0</v>
      </c>
      <c r="O77" s="90" t="s">
        <v>213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3" t="s">
        <v>237</v>
      </c>
      <c r="B78" s="88">
        <v>46151.0</v>
      </c>
      <c r="C78" s="89">
        <v>46143.0</v>
      </c>
      <c r="D78" s="90" t="s">
        <v>68</v>
      </c>
      <c r="E78" s="90" t="s">
        <v>40</v>
      </c>
      <c r="F78" s="90" t="s">
        <v>2</v>
      </c>
      <c r="G78" s="90" t="s">
        <v>26</v>
      </c>
      <c r="H78" s="90" t="s">
        <v>69</v>
      </c>
      <c r="I78" s="91">
        <v>2150.0</v>
      </c>
      <c r="J78" s="91">
        <v>0.0</v>
      </c>
      <c r="K78" s="91">
        <v>2150.0</v>
      </c>
      <c r="L78" s="90" t="s">
        <v>37</v>
      </c>
      <c r="M78" s="21"/>
      <c r="N78" s="90">
        <v>0.0</v>
      </c>
      <c r="O78" s="90" t="s">
        <v>213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3" t="s">
        <v>238</v>
      </c>
      <c r="B79" s="88">
        <v>46153.0</v>
      </c>
      <c r="C79" s="89">
        <v>46143.0</v>
      </c>
      <c r="D79" s="90" t="s">
        <v>64</v>
      </c>
      <c r="E79" s="90" t="s">
        <v>29</v>
      </c>
      <c r="F79" s="90" t="s">
        <v>31</v>
      </c>
      <c r="G79" s="90" t="s">
        <v>32</v>
      </c>
      <c r="H79" s="21"/>
      <c r="I79" s="91">
        <v>0.0</v>
      </c>
      <c r="J79" s="91">
        <v>29.0</v>
      </c>
      <c r="K79" s="91">
        <v>-29.0</v>
      </c>
      <c r="L79" s="90" t="s">
        <v>37</v>
      </c>
      <c r="M79" s="21"/>
      <c r="N79" s="90">
        <v>0.0</v>
      </c>
      <c r="O79" s="90" t="s">
        <v>213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3" t="s">
        <v>239</v>
      </c>
      <c r="B80" s="88">
        <v>46155.0</v>
      </c>
      <c r="C80" s="89">
        <v>46143.0</v>
      </c>
      <c r="D80" s="90" t="s">
        <v>87</v>
      </c>
      <c r="E80" s="90" t="s">
        <v>40</v>
      </c>
      <c r="F80" s="90" t="s">
        <v>2</v>
      </c>
      <c r="G80" s="90" t="s">
        <v>39</v>
      </c>
      <c r="H80" s="90" t="s">
        <v>88</v>
      </c>
      <c r="I80" s="91">
        <v>870.0</v>
      </c>
      <c r="J80" s="91">
        <v>0.0</v>
      </c>
      <c r="K80" s="91">
        <v>870.0</v>
      </c>
      <c r="L80" s="90" t="s">
        <v>37</v>
      </c>
      <c r="M80" s="21"/>
      <c r="N80" s="90">
        <v>0.0</v>
      </c>
      <c r="O80" s="90" t="s">
        <v>213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3" t="s">
        <v>240</v>
      </c>
      <c r="B81" s="88">
        <v>46158.0</v>
      </c>
      <c r="C81" s="89">
        <v>46143.0</v>
      </c>
      <c r="D81" s="90" t="s">
        <v>97</v>
      </c>
      <c r="E81" s="90" t="s">
        <v>40</v>
      </c>
      <c r="F81" s="90" t="s">
        <v>2</v>
      </c>
      <c r="G81" s="90" t="s">
        <v>43</v>
      </c>
      <c r="H81" s="90" t="s">
        <v>100</v>
      </c>
      <c r="I81" s="91">
        <v>164.0</v>
      </c>
      <c r="J81" s="91">
        <v>0.0</v>
      </c>
      <c r="K81" s="91">
        <v>164.0</v>
      </c>
      <c r="L81" s="90" t="s">
        <v>37</v>
      </c>
      <c r="M81" s="21"/>
      <c r="N81" s="90">
        <v>0.0</v>
      </c>
      <c r="O81" s="90" t="s">
        <v>213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3" t="s">
        <v>241</v>
      </c>
      <c r="B82" s="88">
        <v>46160.0</v>
      </c>
      <c r="C82" s="89">
        <v>46143.0</v>
      </c>
      <c r="D82" s="90" t="s">
        <v>108</v>
      </c>
      <c r="E82" s="90" t="s">
        <v>40</v>
      </c>
      <c r="F82" s="90" t="s">
        <v>31</v>
      </c>
      <c r="G82" s="90" t="s">
        <v>77</v>
      </c>
      <c r="H82" s="21"/>
      <c r="I82" s="91">
        <v>0.0</v>
      </c>
      <c r="J82" s="91">
        <v>120.0</v>
      </c>
      <c r="K82" s="91">
        <v>-120.0</v>
      </c>
      <c r="L82" s="90" t="s">
        <v>37</v>
      </c>
      <c r="M82" s="90" t="s">
        <v>110</v>
      </c>
      <c r="N82" s="90">
        <v>0.0</v>
      </c>
      <c r="O82" s="90" t="s">
        <v>213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3" t="s">
        <v>242</v>
      </c>
      <c r="B83" s="88">
        <v>46163.0</v>
      </c>
      <c r="C83" s="89">
        <v>46143.0</v>
      </c>
      <c r="D83" s="90" t="s">
        <v>114</v>
      </c>
      <c r="E83" s="90" t="s">
        <v>40</v>
      </c>
      <c r="F83" s="90" t="s">
        <v>2</v>
      </c>
      <c r="G83" s="90" t="s">
        <v>47</v>
      </c>
      <c r="H83" s="90" t="s">
        <v>99</v>
      </c>
      <c r="I83" s="91">
        <v>295.0</v>
      </c>
      <c r="J83" s="91">
        <v>0.0</v>
      </c>
      <c r="K83" s="91">
        <v>295.0</v>
      </c>
      <c r="L83" s="90" t="s">
        <v>37</v>
      </c>
      <c r="M83" s="21"/>
      <c r="N83" s="90">
        <v>0.0</v>
      </c>
      <c r="O83" s="90" t="s">
        <v>213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3" t="s">
        <v>243</v>
      </c>
      <c r="B84" s="88">
        <v>46166.0</v>
      </c>
      <c r="C84" s="89">
        <v>46143.0</v>
      </c>
      <c r="D84" s="90" t="s">
        <v>228</v>
      </c>
      <c r="E84" s="90" t="s">
        <v>29</v>
      </c>
      <c r="F84" s="90" t="s">
        <v>31</v>
      </c>
      <c r="G84" s="90" t="s">
        <v>79</v>
      </c>
      <c r="H84" s="21"/>
      <c r="I84" s="91">
        <v>0.0</v>
      </c>
      <c r="J84" s="91">
        <v>510.0</v>
      </c>
      <c r="K84" s="91">
        <v>-510.0</v>
      </c>
      <c r="L84" s="90" t="s">
        <v>37</v>
      </c>
      <c r="M84" s="21"/>
      <c r="N84" s="90">
        <v>0.0</v>
      </c>
      <c r="O84" s="90" t="s">
        <v>213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0" t="s">
        <v>244</v>
      </c>
      <c r="B85" s="88">
        <v>46175.0</v>
      </c>
      <c r="C85" s="89">
        <v>46174.0</v>
      </c>
      <c r="D85" s="90" t="s">
        <v>28</v>
      </c>
      <c r="E85" s="90" t="s">
        <v>29</v>
      </c>
      <c r="F85" s="90" t="s">
        <v>31</v>
      </c>
      <c r="G85" s="90" t="s">
        <v>32</v>
      </c>
      <c r="H85" s="21"/>
      <c r="I85" s="91">
        <v>0.0</v>
      </c>
      <c r="J85" s="91">
        <v>55.0</v>
      </c>
      <c r="K85" s="91">
        <v>-55.0</v>
      </c>
      <c r="L85" s="90" t="s">
        <v>37</v>
      </c>
      <c r="M85" s="21"/>
      <c r="N85" s="90">
        <v>0.0</v>
      </c>
      <c r="O85" s="90" t="s">
        <v>213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0" t="s">
        <v>245</v>
      </c>
      <c r="B86" s="88">
        <v>46176.0</v>
      </c>
      <c r="C86" s="89">
        <v>46174.0</v>
      </c>
      <c r="D86" s="90" t="s">
        <v>45</v>
      </c>
      <c r="E86" s="90" t="s">
        <v>40</v>
      </c>
      <c r="F86" s="90" t="s">
        <v>2</v>
      </c>
      <c r="G86" s="90" t="s">
        <v>3</v>
      </c>
      <c r="H86" s="90" t="s">
        <v>46</v>
      </c>
      <c r="I86" s="91">
        <v>1925.0</v>
      </c>
      <c r="J86" s="91">
        <v>0.0</v>
      </c>
      <c r="K86" s="91">
        <v>1925.0</v>
      </c>
      <c r="L86" s="90" t="s">
        <v>37</v>
      </c>
      <c r="M86" s="21"/>
      <c r="N86" s="90">
        <v>0.0</v>
      </c>
      <c r="O86" s="90" t="s">
        <v>213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90" t="s">
        <v>246</v>
      </c>
      <c r="B87" s="88">
        <v>46177.0</v>
      </c>
      <c r="C87" s="89">
        <v>46174.0</v>
      </c>
      <c r="D87" s="90" t="s">
        <v>52</v>
      </c>
      <c r="E87" s="90" t="s">
        <v>40</v>
      </c>
      <c r="F87" s="90" t="s">
        <v>31</v>
      </c>
      <c r="G87" s="90" t="s">
        <v>53</v>
      </c>
      <c r="H87" s="21"/>
      <c r="I87" s="91">
        <v>0.0</v>
      </c>
      <c r="J87" s="91">
        <v>270.0</v>
      </c>
      <c r="K87" s="91">
        <v>-270.0</v>
      </c>
      <c r="L87" s="90" t="s">
        <v>37</v>
      </c>
      <c r="M87" s="21"/>
      <c r="N87" s="90">
        <v>0.0</v>
      </c>
      <c r="O87" s="90" t="s">
        <v>213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0" t="s">
        <v>247</v>
      </c>
      <c r="B88" s="88">
        <v>46179.0</v>
      </c>
      <c r="C88" s="89">
        <v>46174.0</v>
      </c>
      <c r="D88" s="90" t="s">
        <v>59</v>
      </c>
      <c r="E88" s="90" t="s">
        <v>60</v>
      </c>
      <c r="F88" s="90" t="s">
        <v>2</v>
      </c>
      <c r="G88" s="90" t="s">
        <v>15</v>
      </c>
      <c r="H88" s="90" t="s">
        <v>62</v>
      </c>
      <c r="I88" s="91">
        <v>560.0</v>
      </c>
      <c r="J88" s="91">
        <v>0.0</v>
      </c>
      <c r="K88" s="91">
        <v>560.0</v>
      </c>
      <c r="L88" s="90" t="s">
        <v>37</v>
      </c>
      <c r="M88" s="21"/>
      <c r="N88" s="90">
        <v>0.0</v>
      </c>
      <c r="O88" s="90" t="s">
        <v>213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90" t="s">
        <v>249</v>
      </c>
      <c r="B89" s="88">
        <v>46181.0</v>
      </c>
      <c r="C89" s="89">
        <v>46174.0</v>
      </c>
      <c r="D89" s="90" t="s">
        <v>95</v>
      </c>
      <c r="E89" s="90" t="s">
        <v>40</v>
      </c>
      <c r="F89" s="90" t="s">
        <v>31</v>
      </c>
      <c r="G89" s="90" t="s">
        <v>65</v>
      </c>
      <c r="H89" s="21"/>
      <c r="I89" s="91">
        <v>0.0</v>
      </c>
      <c r="J89" s="91">
        <v>31.0</v>
      </c>
      <c r="K89" s="91">
        <v>-31.0</v>
      </c>
      <c r="L89" s="90" t="s">
        <v>37</v>
      </c>
      <c r="M89" s="21"/>
      <c r="N89" s="90">
        <v>0.0</v>
      </c>
      <c r="O89" s="90" t="s">
        <v>213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0" t="s">
        <v>252</v>
      </c>
      <c r="B90" s="88">
        <v>46182.0</v>
      </c>
      <c r="C90" s="89">
        <v>46174.0</v>
      </c>
      <c r="D90" s="90" t="s">
        <v>68</v>
      </c>
      <c r="E90" s="90" t="s">
        <v>40</v>
      </c>
      <c r="F90" s="90" t="s">
        <v>2</v>
      </c>
      <c r="G90" s="90" t="s">
        <v>26</v>
      </c>
      <c r="H90" s="90" t="s">
        <v>69</v>
      </c>
      <c r="I90" s="91">
        <v>2250.0</v>
      </c>
      <c r="J90" s="91">
        <v>0.0</v>
      </c>
      <c r="K90" s="91">
        <v>2250.0</v>
      </c>
      <c r="L90" s="90" t="s">
        <v>37</v>
      </c>
      <c r="M90" s="21"/>
      <c r="N90" s="90">
        <v>0.0</v>
      </c>
      <c r="O90" s="90" t="s">
        <v>213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90" t="s">
        <v>258</v>
      </c>
      <c r="B91" s="88">
        <v>46184.0</v>
      </c>
      <c r="C91" s="89">
        <v>46174.0</v>
      </c>
      <c r="D91" s="90" t="s">
        <v>76</v>
      </c>
      <c r="E91" s="90" t="s">
        <v>29</v>
      </c>
      <c r="F91" s="90" t="s">
        <v>31</v>
      </c>
      <c r="G91" s="90" t="s">
        <v>32</v>
      </c>
      <c r="H91" s="21"/>
      <c r="I91" s="91">
        <v>0.0</v>
      </c>
      <c r="J91" s="91">
        <v>15.0</v>
      </c>
      <c r="K91" s="91">
        <v>-15.0</v>
      </c>
      <c r="L91" s="90" t="s">
        <v>37</v>
      </c>
      <c r="M91" s="21"/>
      <c r="N91" s="90">
        <v>0.0</v>
      </c>
      <c r="O91" s="90" t="s">
        <v>213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0" t="s">
        <v>260</v>
      </c>
      <c r="B92" s="88">
        <v>46186.0</v>
      </c>
      <c r="C92" s="89">
        <v>46174.0</v>
      </c>
      <c r="D92" s="90" t="s">
        <v>87</v>
      </c>
      <c r="E92" s="90" t="s">
        <v>40</v>
      </c>
      <c r="F92" s="90" t="s">
        <v>2</v>
      </c>
      <c r="G92" s="90" t="s">
        <v>39</v>
      </c>
      <c r="H92" s="90" t="s">
        <v>88</v>
      </c>
      <c r="I92" s="91">
        <v>910.0</v>
      </c>
      <c r="J92" s="91">
        <v>0.0</v>
      </c>
      <c r="K92" s="91">
        <v>910.0</v>
      </c>
      <c r="L92" s="90" t="s">
        <v>37</v>
      </c>
      <c r="M92" s="21"/>
      <c r="N92" s="90">
        <v>0.0</v>
      </c>
      <c r="O92" s="90" t="s">
        <v>213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90" t="s">
        <v>270</v>
      </c>
      <c r="B93" s="88">
        <v>46189.0</v>
      </c>
      <c r="C93" s="89">
        <v>46174.0</v>
      </c>
      <c r="D93" s="90" t="s">
        <v>97</v>
      </c>
      <c r="E93" s="90" t="s">
        <v>40</v>
      </c>
      <c r="F93" s="90" t="s">
        <v>2</v>
      </c>
      <c r="G93" s="90" t="s">
        <v>43</v>
      </c>
      <c r="H93" s="90" t="s">
        <v>100</v>
      </c>
      <c r="I93" s="91">
        <v>172.0</v>
      </c>
      <c r="J93" s="91">
        <v>0.0</v>
      </c>
      <c r="K93" s="91">
        <v>172.0</v>
      </c>
      <c r="L93" s="90" t="s">
        <v>37</v>
      </c>
      <c r="M93" s="21"/>
      <c r="N93" s="90">
        <v>0.0</v>
      </c>
      <c r="O93" s="90" t="s">
        <v>213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0" t="s">
        <v>271</v>
      </c>
      <c r="B94" s="88">
        <v>46191.0</v>
      </c>
      <c r="C94" s="89">
        <v>46174.0</v>
      </c>
      <c r="D94" s="90" t="s">
        <v>105</v>
      </c>
      <c r="E94" s="90" t="s">
        <v>29</v>
      </c>
      <c r="F94" s="90" t="s">
        <v>31</v>
      </c>
      <c r="G94" s="90" t="s">
        <v>73</v>
      </c>
      <c r="H94" s="21"/>
      <c r="I94" s="91">
        <v>0.0</v>
      </c>
      <c r="J94" s="91">
        <v>145.0</v>
      </c>
      <c r="K94" s="91">
        <v>-145.0</v>
      </c>
      <c r="L94" s="90" t="s">
        <v>37</v>
      </c>
      <c r="M94" s="21"/>
      <c r="N94" s="90">
        <v>0.0</v>
      </c>
      <c r="O94" s="90" t="s">
        <v>213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90" t="s">
        <v>272</v>
      </c>
      <c r="B95" s="88">
        <v>46194.0</v>
      </c>
      <c r="C95" s="89">
        <v>46174.0</v>
      </c>
      <c r="D95" s="90" t="s">
        <v>114</v>
      </c>
      <c r="E95" s="90" t="s">
        <v>40</v>
      </c>
      <c r="F95" s="90" t="s">
        <v>2</v>
      </c>
      <c r="G95" s="90" t="s">
        <v>47</v>
      </c>
      <c r="H95" s="90" t="s">
        <v>99</v>
      </c>
      <c r="I95" s="91">
        <v>310.0</v>
      </c>
      <c r="J95" s="91">
        <v>0.0</v>
      </c>
      <c r="K95" s="91">
        <v>310.0</v>
      </c>
      <c r="L95" s="90" t="s">
        <v>37</v>
      </c>
      <c r="M95" s="21"/>
      <c r="N95" s="90">
        <v>0.0</v>
      </c>
      <c r="O95" s="90" t="s">
        <v>213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0" t="s">
        <v>273</v>
      </c>
      <c r="B96" s="88">
        <v>46198.0</v>
      </c>
      <c r="C96" s="89">
        <v>46174.0</v>
      </c>
      <c r="D96" s="90" t="s">
        <v>125</v>
      </c>
      <c r="E96" s="90" t="s">
        <v>40</v>
      </c>
      <c r="F96" s="90" t="s">
        <v>31</v>
      </c>
      <c r="G96" s="90" t="s">
        <v>83</v>
      </c>
      <c r="H96" s="21"/>
      <c r="I96" s="91">
        <v>0.0</v>
      </c>
      <c r="J96" s="91">
        <v>110.0</v>
      </c>
      <c r="K96" s="91">
        <v>-110.0</v>
      </c>
      <c r="L96" s="90" t="s">
        <v>37</v>
      </c>
      <c r="M96" s="21"/>
      <c r="N96" s="90">
        <v>0.0</v>
      </c>
      <c r="O96" s="90" t="s">
        <v>213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90" t="s">
        <v>274</v>
      </c>
      <c r="B97" s="88">
        <v>46205.0</v>
      </c>
      <c r="C97" s="89">
        <v>46204.0</v>
      </c>
      <c r="D97" s="90" t="s">
        <v>28</v>
      </c>
      <c r="E97" s="90" t="s">
        <v>29</v>
      </c>
      <c r="F97" s="90" t="s">
        <v>31</v>
      </c>
      <c r="G97" s="90" t="s">
        <v>32</v>
      </c>
      <c r="H97" s="90"/>
      <c r="I97" s="91">
        <v>0.0</v>
      </c>
      <c r="J97" s="91">
        <v>55.0</v>
      </c>
      <c r="K97" s="91">
        <v>-55.0</v>
      </c>
      <c r="L97" s="90" t="s">
        <v>37</v>
      </c>
      <c r="M97" s="21"/>
      <c r="N97" s="90">
        <v>0.0</v>
      </c>
      <c r="O97" s="90" t="s">
        <v>275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0" t="s">
        <v>276</v>
      </c>
      <c r="B98" s="88">
        <v>46206.0</v>
      </c>
      <c r="C98" s="89">
        <v>46204.0</v>
      </c>
      <c r="D98" s="90" t="s">
        <v>45</v>
      </c>
      <c r="E98" s="90" t="s">
        <v>40</v>
      </c>
      <c r="F98" s="90" t="s">
        <v>2</v>
      </c>
      <c r="G98" s="90" t="s">
        <v>3</v>
      </c>
      <c r="H98" s="90" t="s">
        <v>46</v>
      </c>
      <c r="I98" s="91">
        <v>2050.0</v>
      </c>
      <c r="J98" s="91">
        <v>0.0</v>
      </c>
      <c r="K98" s="91">
        <v>2050.0</v>
      </c>
      <c r="L98" s="90" t="s">
        <v>37</v>
      </c>
      <c r="M98" s="21"/>
      <c r="N98" s="90">
        <v>0.0</v>
      </c>
      <c r="O98" s="90" t="s">
        <v>275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90" t="s">
        <v>277</v>
      </c>
      <c r="B99" s="88">
        <v>46207.0</v>
      </c>
      <c r="C99" s="89">
        <v>46204.0</v>
      </c>
      <c r="D99" s="90" t="s">
        <v>52</v>
      </c>
      <c r="E99" s="90" t="s">
        <v>40</v>
      </c>
      <c r="F99" s="90" t="s">
        <v>31</v>
      </c>
      <c r="G99" s="90" t="s">
        <v>53</v>
      </c>
      <c r="H99" s="90"/>
      <c r="I99" s="91">
        <v>0.0</v>
      </c>
      <c r="J99" s="91">
        <v>285.0</v>
      </c>
      <c r="K99" s="91">
        <v>-285.0</v>
      </c>
      <c r="L99" s="90" t="s">
        <v>37</v>
      </c>
      <c r="M99" s="21"/>
      <c r="N99" s="90">
        <v>0.0</v>
      </c>
      <c r="O99" s="90" t="s">
        <v>275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0" t="s">
        <v>278</v>
      </c>
      <c r="B100" s="88">
        <v>46209.0</v>
      </c>
      <c r="C100" s="89">
        <v>46204.0</v>
      </c>
      <c r="D100" s="90" t="s">
        <v>59</v>
      </c>
      <c r="E100" s="90" t="s">
        <v>60</v>
      </c>
      <c r="F100" s="90" t="s">
        <v>2</v>
      </c>
      <c r="G100" s="90" t="s">
        <v>15</v>
      </c>
      <c r="H100" s="90" t="s">
        <v>62</v>
      </c>
      <c r="I100" s="91">
        <v>610.0</v>
      </c>
      <c r="J100" s="91">
        <v>0.0</v>
      </c>
      <c r="K100" s="91">
        <v>610.0</v>
      </c>
      <c r="L100" s="90" t="s">
        <v>37</v>
      </c>
      <c r="M100" s="21"/>
      <c r="N100" s="90">
        <v>0.0</v>
      </c>
      <c r="O100" s="90" t="s">
        <v>275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90" t="s">
        <v>279</v>
      </c>
      <c r="B101" s="88">
        <v>46211.0</v>
      </c>
      <c r="C101" s="89">
        <v>46204.0</v>
      </c>
      <c r="D101" s="90" t="s">
        <v>95</v>
      </c>
      <c r="E101" s="90" t="s">
        <v>40</v>
      </c>
      <c r="F101" s="90" t="s">
        <v>31</v>
      </c>
      <c r="G101" s="90" t="s">
        <v>65</v>
      </c>
      <c r="H101" s="90"/>
      <c r="I101" s="91">
        <v>0.0</v>
      </c>
      <c r="J101" s="91">
        <v>34.0</v>
      </c>
      <c r="K101" s="91">
        <v>-34.0</v>
      </c>
      <c r="L101" s="90" t="s">
        <v>37</v>
      </c>
      <c r="M101" s="21"/>
      <c r="N101" s="90">
        <v>0.0</v>
      </c>
      <c r="O101" s="90" t="s">
        <v>275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0" t="s">
        <v>280</v>
      </c>
      <c r="B102" s="88">
        <v>46212.0</v>
      </c>
      <c r="C102" s="89">
        <v>46204.0</v>
      </c>
      <c r="D102" s="90" t="s">
        <v>68</v>
      </c>
      <c r="E102" s="90" t="s">
        <v>40</v>
      </c>
      <c r="F102" s="90" t="s">
        <v>2</v>
      </c>
      <c r="G102" s="90" t="s">
        <v>26</v>
      </c>
      <c r="H102" s="90" t="s">
        <v>69</v>
      </c>
      <c r="I102" s="91">
        <v>2400.0</v>
      </c>
      <c r="J102" s="91">
        <v>0.0</v>
      </c>
      <c r="K102" s="91">
        <v>2400.0</v>
      </c>
      <c r="L102" s="90" t="s">
        <v>37</v>
      </c>
      <c r="M102" s="21"/>
      <c r="N102" s="90">
        <v>0.0</v>
      </c>
      <c r="O102" s="90" t="s">
        <v>275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90" t="s">
        <v>281</v>
      </c>
      <c r="B103" s="88">
        <v>46214.0</v>
      </c>
      <c r="C103" s="89">
        <v>46204.0</v>
      </c>
      <c r="D103" s="90" t="s">
        <v>64</v>
      </c>
      <c r="E103" s="90" t="s">
        <v>29</v>
      </c>
      <c r="F103" s="90" t="s">
        <v>31</v>
      </c>
      <c r="G103" s="90" t="s">
        <v>32</v>
      </c>
      <c r="H103" s="90"/>
      <c r="I103" s="91">
        <v>0.0</v>
      </c>
      <c r="J103" s="91">
        <v>29.0</v>
      </c>
      <c r="K103" s="91">
        <v>-29.0</v>
      </c>
      <c r="L103" s="90" t="s">
        <v>37</v>
      </c>
      <c r="M103" s="21"/>
      <c r="N103" s="90">
        <v>0.0</v>
      </c>
      <c r="O103" s="90" t="s">
        <v>275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0" t="s">
        <v>282</v>
      </c>
      <c r="B104" s="88">
        <v>46216.0</v>
      </c>
      <c r="C104" s="89">
        <v>46204.0</v>
      </c>
      <c r="D104" s="90" t="s">
        <v>87</v>
      </c>
      <c r="E104" s="90" t="s">
        <v>40</v>
      </c>
      <c r="F104" s="90" t="s">
        <v>2</v>
      </c>
      <c r="G104" s="90" t="s">
        <v>39</v>
      </c>
      <c r="H104" s="90" t="s">
        <v>88</v>
      </c>
      <c r="I104" s="91">
        <v>960.0</v>
      </c>
      <c r="J104" s="91">
        <v>0.0</v>
      </c>
      <c r="K104" s="91">
        <v>960.0</v>
      </c>
      <c r="L104" s="90" t="s">
        <v>37</v>
      </c>
      <c r="M104" s="21"/>
      <c r="N104" s="90">
        <v>0.0</v>
      </c>
      <c r="O104" s="90" t="s">
        <v>275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90" t="s">
        <v>283</v>
      </c>
      <c r="B105" s="88">
        <v>46219.0</v>
      </c>
      <c r="C105" s="89">
        <v>46204.0</v>
      </c>
      <c r="D105" s="90" t="s">
        <v>97</v>
      </c>
      <c r="E105" s="90" t="s">
        <v>40</v>
      </c>
      <c r="F105" s="90" t="s">
        <v>2</v>
      </c>
      <c r="G105" s="90" t="s">
        <v>43</v>
      </c>
      <c r="H105" s="90" t="s">
        <v>100</v>
      </c>
      <c r="I105" s="91">
        <v>180.0</v>
      </c>
      <c r="J105" s="91">
        <v>0.0</v>
      </c>
      <c r="K105" s="91">
        <v>180.0</v>
      </c>
      <c r="L105" s="90" t="s">
        <v>37</v>
      </c>
      <c r="M105" s="21"/>
      <c r="N105" s="90">
        <v>0.0</v>
      </c>
      <c r="O105" s="90" t="s">
        <v>275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0" t="s">
        <v>284</v>
      </c>
      <c r="B106" s="88">
        <v>46221.0</v>
      </c>
      <c r="C106" s="89">
        <v>46204.0</v>
      </c>
      <c r="D106" s="90" t="s">
        <v>108</v>
      </c>
      <c r="E106" s="90" t="s">
        <v>40</v>
      </c>
      <c r="F106" s="90" t="s">
        <v>31</v>
      </c>
      <c r="G106" s="90" t="s">
        <v>77</v>
      </c>
      <c r="H106" s="90"/>
      <c r="I106" s="91">
        <v>0.0</v>
      </c>
      <c r="J106" s="91">
        <v>120.0</v>
      </c>
      <c r="K106" s="91">
        <v>-120.0</v>
      </c>
      <c r="L106" s="90" t="s">
        <v>37</v>
      </c>
      <c r="M106" s="90" t="s">
        <v>110</v>
      </c>
      <c r="N106" s="90">
        <v>0.0</v>
      </c>
      <c r="O106" s="90" t="s">
        <v>275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90" t="s">
        <v>285</v>
      </c>
      <c r="B107" s="88">
        <v>46224.0</v>
      </c>
      <c r="C107" s="89">
        <v>46204.0</v>
      </c>
      <c r="D107" s="90" t="s">
        <v>114</v>
      </c>
      <c r="E107" s="90" t="s">
        <v>40</v>
      </c>
      <c r="F107" s="90" t="s">
        <v>2</v>
      </c>
      <c r="G107" s="90" t="s">
        <v>47</v>
      </c>
      <c r="H107" s="90" t="s">
        <v>99</v>
      </c>
      <c r="I107" s="91">
        <v>335.0</v>
      </c>
      <c r="J107" s="91">
        <v>0.0</v>
      </c>
      <c r="K107" s="91">
        <v>335.0</v>
      </c>
      <c r="L107" s="90" t="s">
        <v>37</v>
      </c>
      <c r="M107" s="21"/>
      <c r="N107" s="90">
        <v>0.0</v>
      </c>
      <c r="O107" s="90" t="s">
        <v>275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0" t="s">
        <v>286</v>
      </c>
      <c r="B108" s="88">
        <v>46228.0</v>
      </c>
      <c r="C108" s="89">
        <v>46204.0</v>
      </c>
      <c r="D108" s="90" t="s">
        <v>228</v>
      </c>
      <c r="E108" s="90" t="s">
        <v>29</v>
      </c>
      <c r="F108" s="90" t="s">
        <v>31</v>
      </c>
      <c r="G108" s="90" t="s">
        <v>79</v>
      </c>
      <c r="H108" s="90"/>
      <c r="I108" s="91">
        <v>0.0</v>
      </c>
      <c r="J108" s="91">
        <v>540.0</v>
      </c>
      <c r="K108" s="91">
        <v>-540.0</v>
      </c>
      <c r="L108" s="90" t="s">
        <v>37</v>
      </c>
      <c r="M108" s="21"/>
      <c r="N108" s="90">
        <v>0.0</v>
      </c>
      <c r="O108" s="90" t="s">
        <v>275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90" t="s">
        <v>287</v>
      </c>
      <c r="B109" s="88">
        <v>46236.0</v>
      </c>
      <c r="C109" s="89">
        <v>46235.0</v>
      </c>
      <c r="D109" s="90" t="s">
        <v>76</v>
      </c>
      <c r="E109" s="90" t="s">
        <v>29</v>
      </c>
      <c r="F109" s="90" t="s">
        <v>31</v>
      </c>
      <c r="G109" s="90" t="s">
        <v>32</v>
      </c>
      <c r="H109" s="90"/>
      <c r="I109" s="91">
        <v>0.0</v>
      </c>
      <c r="J109" s="91">
        <v>15.0</v>
      </c>
      <c r="K109" s="91">
        <v>-15.0</v>
      </c>
      <c r="L109" s="90" t="s">
        <v>37</v>
      </c>
      <c r="M109" s="21"/>
      <c r="N109" s="90">
        <v>0.0</v>
      </c>
      <c r="O109" s="90" t="s">
        <v>275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0" t="s">
        <v>288</v>
      </c>
      <c r="B110" s="88">
        <v>46237.0</v>
      </c>
      <c r="C110" s="89">
        <v>46235.0</v>
      </c>
      <c r="D110" s="90" t="s">
        <v>45</v>
      </c>
      <c r="E110" s="90" t="s">
        <v>40</v>
      </c>
      <c r="F110" s="90" t="s">
        <v>2</v>
      </c>
      <c r="G110" s="90" t="s">
        <v>3</v>
      </c>
      <c r="H110" s="90" t="s">
        <v>46</v>
      </c>
      <c r="I110" s="91">
        <v>2180.0</v>
      </c>
      <c r="J110" s="91">
        <v>0.0</v>
      </c>
      <c r="K110" s="91">
        <v>2180.0</v>
      </c>
      <c r="L110" s="90" t="s">
        <v>37</v>
      </c>
      <c r="M110" s="21"/>
      <c r="N110" s="90">
        <v>0.0</v>
      </c>
      <c r="O110" s="90" t="s">
        <v>275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90" t="s">
        <v>289</v>
      </c>
      <c r="B111" s="88">
        <v>46238.0</v>
      </c>
      <c r="C111" s="89">
        <v>46235.0</v>
      </c>
      <c r="D111" s="90" t="s">
        <v>52</v>
      </c>
      <c r="E111" s="90" t="s">
        <v>40</v>
      </c>
      <c r="F111" s="90" t="s">
        <v>31</v>
      </c>
      <c r="G111" s="90" t="s">
        <v>53</v>
      </c>
      <c r="H111" s="90"/>
      <c r="I111" s="91">
        <v>0.0</v>
      </c>
      <c r="J111" s="91">
        <v>300.0</v>
      </c>
      <c r="K111" s="91">
        <v>-300.0</v>
      </c>
      <c r="L111" s="90" t="s">
        <v>37</v>
      </c>
      <c r="M111" s="21"/>
      <c r="N111" s="90">
        <v>0.0</v>
      </c>
      <c r="O111" s="90" t="s">
        <v>275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0" t="s">
        <v>290</v>
      </c>
      <c r="B112" s="88">
        <v>46240.0</v>
      </c>
      <c r="C112" s="89">
        <v>46235.0</v>
      </c>
      <c r="D112" s="90" t="s">
        <v>59</v>
      </c>
      <c r="E112" s="90" t="s">
        <v>60</v>
      </c>
      <c r="F112" s="90" t="s">
        <v>2</v>
      </c>
      <c r="G112" s="90" t="s">
        <v>15</v>
      </c>
      <c r="H112" s="90" t="s">
        <v>62</v>
      </c>
      <c r="I112" s="91">
        <v>645.0</v>
      </c>
      <c r="J112" s="91">
        <v>0.0</v>
      </c>
      <c r="K112" s="91">
        <v>645.0</v>
      </c>
      <c r="L112" s="90" t="s">
        <v>37</v>
      </c>
      <c r="M112" s="21"/>
      <c r="N112" s="90">
        <v>0.0</v>
      </c>
      <c r="O112" s="90" t="s">
        <v>275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90" t="s">
        <v>291</v>
      </c>
      <c r="B113" s="88">
        <v>46242.0</v>
      </c>
      <c r="C113" s="89">
        <v>46235.0</v>
      </c>
      <c r="D113" s="90" t="s">
        <v>95</v>
      </c>
      <c r="E113" s="90" t="s">
        <v>40</v>
      </c>
      <c r="F113" s="90" t="s">
        <v>31</v>
      </c>
      <c r="G113" s="90" t="s">
        <v>65</v>
      </c>
      <c r="H113" s="90"/>
      <c r="I113" s="91">
        <v>0.0</v>
      </c>
      <c r="J113" s="91">
        <v>36.0</v>
      </c>
      <c r="K113" s="91">
        <v>-36.0</v>
      </c>
      <c r="L113" s="90" t="s">
        <v>37</v>
      </c>
      <c r="M113" s="21"/>
      <c r="N113" s="90">
        <v>0.0</v>
      </c>
      <c r="O113" s="90" t="s">
        <v>275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0" t="s">
        <v>292</v>
      </c>
      <c r="B114" s="88">
        <v>46243.0</v>
      </c>
      <c r="C114" s="89">
        <v>46235.0</v>
      </c>
      <c r="D114" s="90" t="s">
        <v>68</v>
      </c>
      <c r="E114" s="90" t="s">
        <v>40</v>
      </c>
      <c r="F114" s="90" t="s">
        <v>2</v>
      </c>
      <c r="G114" s="90" t="s">
        <v>26</v>
      </c>
      <c r="H114" s="90" t="s">
        <v>69</v>
      </c>
      <c r="I114" s="91">
        <v>2550.0</v>
      </c>
      <c r="J114" s="91">
        <v>0.0</v>
      </c>
      <c r="K114" s="91">
        <v>2550.0</v>
      </c>
      <c r="L114" s="90" t="s">
        <v>37</v>
      </c>
      <c r="M114" s="21"/>
      <c r="N114" s="90">
        <v>0.0</v>
      </c>
      <c r="O114" s="90" t="s">
        <v>275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90" t="s">
        <v>293</v>
      </c>
      <c r="B115" s="88">
        <v>46245.0</v>
      </c>
      <c r="C115" s="89">
        <v>46235.0</v>
      </c>
      <c r="D115" s="90" t="s">
        <v>105</v>
      </c>
      <c r="E115" s="90" t="s">
        <v>29</v>
      </c>
      <c r="F115" s="90" t="s">
        <v>31</v>
      </c>
      <c r="G115" s="90" t="s">
        <v>73</v>
      </c>
      <c r="H115" s="90"/>
      <c r="I115" s="91">
        <v>0.0</v>
      </c>
      <c r="J115" s="91">
        <v>155.0</v>
      </c>
      <c r="K115" s="91">
        <v>-155.0</v>
      </c>
      <c r="L115" s="90" t="s">
        <v>37</v>
      </c>
      <c r="M115" s="21"/>
      <c r="N115" s="90">
        <v>0.0</v>
      </c>
      <c r="O115" s="90" t="s">
        <v>275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0" t="s">
        <v>294</v>
      </c>
      <c r="B116" s="88">
        <v>46247.0</v>
      </c>
      <c r="C116" s="89">
        <v>46235.0</v>
      </c>
      <c r="D116" s="90" t="s">
        <v>87</v>
      </c>
      <c r="E116" s="90" t="s">
        <v>40</v>
      </c>
      <c r="F116" s="90" t="s">
        <v>2</v>
      </c>
      <c r="G116" s="90" t="s">
        <v>39</v>
      </c>
      <c r="H116" s="90" t="s">
        <v>88</v>
      </c>
      <c r="I116" s="91">
        <v>1025.0</v>
      </c>
      <c r="J116" s="91">
        <v>0.0</v>
      </c>
      <c r="K116" s="91">
        <v>1025.0</v>
      </c>
      <c r="L116" s="90" t="s">
        <v>37</v>
      </c>
      <c r="M116" s="21"/>
      <c r="N116" s="90">
        <v>0.0</v>
      </c>
      <c r="O116" s="90" t="s">
        <v>275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90" t="s">
        <v>295</v>
      </c>
      <c r="B117" s="88">
        <v>46250.0</v>
      </c>
      <c r="C117" s="89">
        <v>46235.0</v>
      </c>
      <c r="D117" s="90" t="s">
        <v>97</v>
      </c>
      <c r="E117" s="90" t="s">
        <v>40</v>
      </c>
      <c r="F117" s="90" t="s">
        <v>2</v>
      </c>
      <c r="G117" s="90" t="s">
        <v>43</v>
      </c>
      <c r="H117" s="90" t="s">
        <v>100</v>
      </c>
      <c r="I117" s="91">
        <v>195.0</v>
      </c>
      <c r="J117" s="91">
        <v>0.0</v>
      </c>
      <c r="K117" s="91">
        <v>195.0</v>
      </c>
      <c r="L117" s="90" t="s">
        <v>37</v>
      </c>
      <c r="M117" s="21"/>
      <c r="N117" s="90">
        <v>0.0</v>
      </c>
      <c r="O117" s="90" t="s">
        <v>275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0" t="s">
        <v>296</v>
      </c>
      <c r="B118" s="88">
        <v>46252.0</v>
      </c>
      <c r="C118" s="89">
        <v>46235.0</v>
      </c>
      <c r="D118" s="90" t="s">
        <v>125</v>
      </c>
      <c r="E118" s="90" t="s">
        <v>40</v>
      </c>
      <c r="F118" s="90" t="s">
        <v>31</v>
      </c>
      <c r="G118" s="90" t="s">
        <v>83</v>
      </c>
      <c r="H118" s="90"/>
      <c r="I118" s="91">
        <v>0.0</v>
      </c>
      <c r="J118" s="91">
        <v>125.0</v>
      </c>
      <c r="K118" s="91">
        <v>-125.0</v>
      </c>
      <c r="L118" s="90" t="s">
        <v>37</v>
      </c>
      <c r="M118" s="21"/>
      <c r="N118" s="90">
        <v>0.0</v>
      </c>
      <c r="O118" s="90" t="s">
        <v>275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90" t="s">
        <v>297</v>
      </c>
      <c r="B119" s="88">
        <v>46255.0</v>
      </c>
      <c r="C119" s="89">
        <v>46235.0</v>
      </c>
      <c r="D119" s="90" t="s">
        <v>114</v>
      </c>
      <c r="E119" s="90" t="s">
        <v>40</v>
      </c>
      <c r="F119" s="90" t="s">
        <v>2</v>
      </c>
      <c r="G119" s="90" t="s">
        <v>47</v>
      </c>
      <c r="H119" s="90" t="s">
        <v>99</v>
      </c>
      <c r="I119" s="91">
        <v>360.0</v>
      </c>
      <c r="J119" s="91">
        <v>0.0</v>
      </c>
      <c r="K119" s="91">
        <v>360.0</v>
      </c>
      <c r="L119" s="90" t="s">
        <v>37</v>
      </c>
      <c r="M119" s="21"/>
      <c r="N119" s="90">
        <v>0.0</v>
      </c>
      <c r="O119" s="90" t="s">
        <v>275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0" t="s">
        <v>298</v>
      </c>
      <c r="B120" s="88">
        <v>46259.0</v>
      </c>
      <c r="C120" s="89">
        <v>46235.0</v>
      </c>
      <c r="D120" s="90" t="s">
        <v>128</v>
      </c>
      <c r="E120" s="90" t="s">
        <v>40</v>
      </c>
      <c r="F120" s="90" t="s">
        <v>31</v>
      </c>
      <c r="G120" s="90" t="s">
        <v>89</v>
      </c>
      <c r="H120" s="90"/>
      <c r="I120" s="91">
        <v>0.0</v>
      </c>
      <c r="J120" s="91">
        <v>64.0</v>
      </c>
      <c r="K120" s="91">
        <v>-64.0</v>
      </c>
      <c r="L120" s="90" t="s">
        <v>37</v>
      </c>
      <c r="M120" s="21"/>
      <c r="N120" s="90">
        <v>0.0</v>
      </c>
      <c r="O120" s="90" t="s">
        <v>275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90" t="s">
        <v>299</v>
      </c>
      <c r="B121" s="88">
        <v>46267.0</v>
      </c>
      <c r="C121" s="89">
        <v>46266.0</v>
      </c>
      <c r="D121" s="90" t="s">
        <v>28</v>
      </c>
      <c r="E121" s="90" t="s">
        <v>29</v>
      </c>
      <c r="F121" s="90" t="s">
        <v>31</v>
      </c>
      <c r="G121" s="90" t="s">
        <v>32</v>
      </c>
      <c r="H121" s="90"/>
      <c r="I121" s="91">
        <v>0.0</v>
      </c>
      <c r="J121" s="91">
        <v>55.0</v>
      </c>
      <c r="K121" s="91">
        <v>-55.0</v>
      </c>
      <c r="L121" s="90" t="s">
        <v>37</v>
      </c>
      <c r="M121" s="21"/>
      <c r="N121" s="90">
        <v>0.0</v>
      </c>
      <c r="O121" s="90" t="s">
        <v>275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0" t="s">
        <v>300</v>
      </c>
      <c r="B122" s="88">
        <v>46268.0</v>
      </c>
      <c r="C122" s="89">
        <v>46266.0</v>
      </c>
      <c r="D122" s="90" t="s">
        <v>45</v>
      </c>
      <c r="E122" s="90" t="s">
        <v>40</v>
      </c>
      <c r="F122" s="90" t="s">
        <v>2</v>
      </c>
      <c r="G122" s="90" t="s">
        <v>3</v>
      </c>
      <c r="H122" s="90" t="s">
        <v>46</v>
      </c>
      <c r="I122" s="91">
        <v>2310.0</v>
      </c>
      <c r="J122" s="91">
        <v>0.0</v>
      </c>
      <c r="K122" s="91">
        <v>2310.0</v>
      </c>
      <c r="L122" s="90" t="s">
        <v>37</v>
      </c>
      <c r="M122" s="21"/>
      <c r="N122" s="90">
        <v>0.0</v>
      </c>
      <c r="O122" s="90" t="s">
        <v>275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90" t="s">
        <v>301</v>
      </c>
      <c r="B123" s="88">
        <v>46269.0</v>
      </c>
      <c r="C123" s="89">
        <v>46266.0</v>
      </c>
      <c r="D123" s="90" t="s">
        <v>52</v>
      </c>
      <c r="E123" s="90" t="s">
        <v>40</v>
      </c>
      <c r="F123" s="90" t="s">
        <v>31</v>
      </c>
      <c r="G123" s="90" t="s">
        <v>53</v>
      </c>
      <c r="H123" s="90"/>
      <c r="I123" s="91">
        <v>0.0</v>
      </c>
      <c r="J123" s="91">
        <v>315.0</v>
      </c>
      <c r="K123" s="91">
        <v>-315.0</v>
      </c>
      <c r="L123" s="90" t="s">
        <v>37</v>
      </c>
      <c r="M123" s="21"/>
      <c r="N123" s="90">
        <v>0.0</v>
      </c>
      <c r="O123" s="90" t="s">
        <v>275</v>
      </c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0" t="s">
        <v>302</v>
      </c>
      <c r="B124" s="88">
        <v>46271.0</v>
      </c>
      <c r="C124" s="89">
        <v>46266.0</v>
      </c>
      <c r="D124" s="90" t="s">
        <v>59</v>
      </c>
      <c r="E124" s="90" t="s">
        <v>60</v>
      </c>
      <c r="F124" s="90" t="s">
        <v>2</v>
      </c>
      <c r="G124" s="90" t="s">
        <v>15</v>
      </c>
      <c r="H124" s="90" t="s">
        <v>62</v>
      </c>
      <c r="I124" s="91">
        <v>680.0</v>
      </c>
      <c r="J124" s="91">
        <v>0.0</v>
      </c>
      <c r="K124" s="91">
        <v>680.0</v>
      </c>
      <c r="L124" s="90" t="s">
        <v>37</v>
      </c>
      <c r="M124" s="21"/>
      <c r="N124" s="90">
        <v>0.0</v>
      </c>
      <c r="O124" s="90" t="s">
        <v>275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90" t="s">
        <v>303</v>
      </c>
      <c r="B125" s="88">
        <v>46273.0</v>
      </c>
      <c r="C125" s="89">
        <v>46266.0</v>
      </c>
      <c r="D125" s="90" t="s">
        <v>95</v>
      </c>
      <c r="E125" s="90" t="s">
        <v>40</v>
      </c>
      <c r="F125" s="90" t="s">
        <v>31</v>
      </c>
      <c r="G125" s="90" t="s">
        <v>65</v>
      </c>
      <c r="H125" s="90"/>
      <c r="I125" s="91">
        <v>0.0</v>
      </c>
      <c r="J125" s="91">
        <v>39.0</v>
      </c>
      <c r="K125" s="91">
        <v>-39.0</v>
      </c>
      <c r="L125" s="90" t="s">
        <v>37</v>
      </c>
      <c r="M125" s="21"/>
      <c r="N125" s="90">
        <v>0.0</v>
      </c>
      <c r="O125" s="90" t="s">
        <v>275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0" t="s">
        <v>304</v>
      </c>
      <c r="B126" s="88">
        <v>46274.0</v>
      </c>
      <c r="C126" s="89">
        <v>46266.0</v>
      </c>
      <c r="D126" s="90" t="s">
        <v>68</v>
      </c>
      <c r="E126" s="90" t="s">
        <v>40</v>
      </c>
      <c r="F126" s="90" t="s">
        <v>2</v>
      </c>
      <c r="G126" s="90" t="s">
        <v>26</v>
      </c>
      <c r="H126" s="90" t="s">
        <v>69</v>
      </c>
      <c r="I126" s="91">
        <v>2700.0</v>
      </c>
      <c r="J126" s="91">
        <v>0.0</v>
      </c>
      <c r="K126" s="91">
        <v>2700.0</v>
      </c>
      <c r="L126" s="90" t="s">
        <v>37</v>
      </c>
      <c r="M126" s="21"/>
      <c r="N126" s="90">
        <v>0.0</v>
      </c>
      <c r="O126" s="90" t="s">
        <v>275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90" t="s">
        <v>305</v>
      </c>
      <c r="B127" s="88">
        <v>46276.0</v>
      </c>
      <c r="C127" s="89">
        <v>46266.0</v>
      </c>
      <c r="D127" s="90" t="s">
        <v>108</v>
      </c>
      <c r="E127" s="90" t="s">
        <v>40</v>
      </c>
      <c r="F127" s="90" t="s">
        <v>31</v>
      </c>
      <c r="G127" s="90" t="s">
        <v>77</v>
      </c>
      <c r="H127" s="90"/>
      <c r="I127" s="91">
        <v>0.0</v>
      </c>
      <c r="J127" s="91">
        <v>120.0</v>
      </c>
      <c r="K127" s="91">
        <v>-120.0</v>
      </c>
      <c r="L127" s="90" t="s">
        <v>37</v>
      </c>
      <c r="M127" s="90" t="s">
        <v>110</v>
      </c>
      <c r="N127" s="90">
        <v>0.0</v>
      </c>
      <c r="O127" s="90" t="s">
        <v>275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0" t="s">
        <v>306</v>
      </c>
      <c r="B128" s="88">
        <v>46278.0</v>
      </c>
      <c r="C128" s="89">
        <v>46266.0</v>
      </c>
      <c r="D128" s="90" t="s">
        <v>87</v>
      </c>
      <c r="E128" s="90" t="s">
        <v>40</v>
      </c>
      <c r="F128" s="90" t="s">
        <v>2</v>
      </c>
      <c r="G128" s="90" t="s">
        <v>39</v>
      </c>
      <c r="H128" s="90" t="s">
        <v>88</v>
      </c>
      <c r="I128" s="91">
        <v>1090.0</v>
      </c>
      <c r="J128" s="91">
        <v>0.0</v>
      </c>
      <c r="K128" s="91">
        <v>1090.0</v>
      </c>
      <c r="L128" s="90" t="s">
        <v>37</v>
      </c>
      <c r="M128" s="21"/>
      <c r="N128" s="90">
        <v>0.0</v>
      </c>
      <c r="O128" s="90" t="s">
        <v>275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90" t="s">
        <v>307</v>
      </c>
      <c r="B129" s="88">
        <v>46281.0</v>
      </c>
      <c r="C129" s="89">
        <v>46266.0</v>
      </c>
      <c r="D129" s="90" t="s">
        <v>97</v>
      </c>
      <c r="E129" s="90" t="s">
        <v>40</v>
      </c>
      <c r="F129" s="90" t="s">
        <v>2</v>
      </c>
      <c r="G129" s="90" t="s">
        <v>43</v>
      </c>
      <c r="H129" s="90" t="s">
        <v>100</v>
      </c>
      <c r="I129" s="91">
        <v>205.0</v>
      </c>
      <c r="J129" s="91">
        <v>0.0</v>
      </c>
      <c r="K129" s="91">
        <v>205.0</v>
      </c>
      <c r="L129" s="90" t="s">
        <v>37</v>
      </c>
      <c r="M129" s="21"/>
      <c r="N129" s="90">
        <v>0.0</v>
      </c>
      <c r="O129" s="90" t="s">
        <v>275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0" t="s">
        <v>308</v>
      </c>
      <c r="B130" s="88">
        <v>46283.0</v>
      </c>
      <c r="C130" s="89">
        <v>46266.0</v>
      </c>
      <c r="D130" s="90" t="s">
        <v>228</v>
      </c>
      <c r="E130" s="90" t="s">
        <v>29</v>
      </c>
      <c r="F130" s="90" t="s">
        <v>31</v>
      </c>
      <c r="G130" s="90" t="s">
        <v>79</v>
      </c>
      <c r="H130" s="90"/>
      <c r="I130" s="91">
        <v>0.0</v>
      </c>
      <c r="J130" s="91">
        <v>575.0</v>
      </c>
      <c r="K130" s="91">
        <v>-575.0</v>
      </c>
      <c r="L130" s="90" t="s">
        <v>37</v>
      </c>
      <c r="M130" s="21"/>
      <c r="N130" s="90">
        <v>0.0</v>
      </c>
      <c r="O130" s="90" t="s">
        <v>275</v>
      </c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90" t="s">
        <v>309</v>
      </c>
      <c r="B131" s="88">
        <v>46286.0</v>
      </c>
      <c r="C131" s="89">
        <v>46266.0</v>
      </c>
      <c r="D131" s="90" t="s">
        <v>114</v>
      </c>
      <c r="E131" s="90" t="s">
        <v>40</v>
      </c>
      <c r="F131" s="90" t="s">
        <v>2</v>
      </c>
      <c r="G131" s="90" t="s">
        <v>47</v>
      </c>
      <c r="H131" s="90" t="s">
        <v>99</v>
      </c>
      <c r="I131" s="91">
        <v>385.0</v>
      </c>
      <c r="J131" s="91">
        <v>0.0</v>
      </c>
      <c r="K131" s="91">
        <v>385.0</v>
      </c>
      <c r="L131" s="90" t="s">
        <v>37</v>
      </c>
      <c r="M131" s="21"/>
      <c r="N131" s="90">
        <v>0.0</v>
      </c>
      <c r="O131" s="90" t="s">
        <v>275</v>
      </c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0" t="s">
        <v>310</v>
      </c>
      <c r="B132" s="88">
        <v>46290.0</v>
      </c>
      <c r="C132" s="89">
        <v>46266.0</v>
      </c>
      <c r="D132" s="90" t="s">
        <v>135</v>
      </c>
      <c r="E132" s="90" t="s">
        <v>29</v>
      </c>
      <c r="F132" s="90" t="s">
        <v>31</v>
      </c>
      <c r="G132" s="90" t="s">
        <v>93</v>
      </c>
      <c r="H132" s="90"/>
      <c r="I132" s="91">
        <v>0.0</v>
      </c>
      <c r="J132" s="91">
        <v>68.0</v>
      </c>
      <c r="K132" s="91">
        <v>-68.0</v>
      </c>
      <c r="L132" s="90" t="s">
        <v>37</v>
      </c>
      <c r="M132" s="21"/>
      <c r="N132" s="90">
        <v>0.0</v>
      </c>
      <c r="O132" s="90" t="s">
        <v>275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90" t="s">
        <v>311</v>
      </c>
      <c r="B133" s="88">
        <v>46298.0</v>
      </c>
      <c r="C133" s="89">
        <v>46296.0</v>
      </c>
      <c r="D133" s="90" t="s">
        <v>45</v>
      </c>
      <c r="E133" s="90" t="s">
        <v>40</v>
      </c>
      <c r="F133" s="90" t="s">
        <v>2</v>
      </c>
      <c r="G133" s="90" t="s">
        <v>3</v>
      </c>
      <c r="H133" s="90" t="s">
        <v>46</v>
      </c>
      <c r="I133" s="91">
        <v>2440.0</v>
      </c>
      <c r="J133" s="91">
        <v>0.0</v>
      </c>
      <c r="K133" s="91">
        <v>2440.0</v>
      </c>
      <c r="L133" s="90" t="s">
        <v>37</v>
      </c>
      <c r="M133" s="21"/>
      <c r="N133" s="90">
        <v>0.0</v>
      </c>
      <c r="O133" s="90" t="s">
        <v>312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0" t="s">
        <v>313</v>
      </c>
      <c r="B134" s="88">
        <v>46301.0</v>
      </c>
      <c r="C134" s="89">
        <v>46296.0</v>
      </c>
      <c r="D134" s="90" t="s">
        <v>59</v>
      </c>
      <c r="E134" s="90" t="s">
        <v>60</v>
      </c>
      <c r="F134" s="90" t="s">
        <v>2</v>
      </c>
      <c r="G134" s="90" t="s">
        <v>15</v>
      </c>
      <c r="H134" s="90" t="s">
        <v>62</v>
      </c>
      <c r="I134" s="91">
        <v>720.0</v>
      </c>
      <c r="J134" s="91">
        <v>0.0</v>
      </c>
      <c r="K134" s="91">
        <v>720.0</v>
      </c>
      <c r="L134" s="90" t="s">
        <v>37</v>
      </c>
      <c r="M134" s="21"/>
      <c r="N134" s="90">
        <v>0.0</v>
      </c>
      <c r="O134" s="90" t="s">
        <v>312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90" t="s">
        <v>314</v>
      </c>
      <c r="B135" s="88">
        <v>46304.0</v>
      </c>
      <c r="C135" s="89">
        <v>46296.0</v>
      </c>
      <c r="D135" s="90" t="s">
        <v>68</v>
      </c>
      <c r="E135" s="90" t="s">
        <v>40</v>
      </c>
      <c r="F135" s="90" t="s">
        <v>2</v>
      </c>
      <c r="G135" s="90" t="s">
        <v>26</v>
      </c>
      <c r="H135" s="90" t="s">
        <v>69</v>
      </c>
      <c r="I135" s="91">
        <v>2850.0</v>
      </c>
      <c r="J135" s="91">
        <v>0.0</v>
      </c>
      <c r="K135" s="91">
        <v>2850.0</v>
      </c>
      <c r="L135" s="90" t="s">
        <v>37</v>
      </c>
      <c r="M135" s="21"/>
      <c r="N135" s="90">
        <v>0.0</v>
      </c>
      <c r="O135" s="90" t="s">
        <v>312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0" t="s">
        <v>315</v>
      </c>
      <c r="B136" s="88">
        <v>46308.0</v>
      </c>
      <c r="C136" s="89">
        <v>46296.0</v>
      </c>
      <c r="D136" s="90" t="s">
        <v>87</v>
      </c>
      <c r="E136" s="90" t="s">
        <v>40</v>
      </c>
      <c r="F136" s="90" t="s">
        <v>2</v>
      </c>
      <c r="G136" s="90" t="s">
        <v>39</v>
      </c>
      <c r="H136" s="90" t="s">
        <v>88</v>
      </c>
      <c r="I136" s="91">
        <v>1160.0</v>
      </c>
      <c r="J136" s="91">
        <v>0.0</v>
      </c>
      <c r="K136" s="91">
        <v>1160.0</v>
      </c>
      <c r="L136" s="90" t="s">
        <v>37</v>
      </c>
      <c r="M136" s="21"/>
      <c r="N136" s="90">
        <v>0.0</v>
      </c>
      <c r="O136" s="90" t="s">
        <v>312</v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90" t="s">
        <v>316</v>
      </c>
      <c r="B137" s="88">
        <v>46311.0</v>
      </c>
      <c r="C137" s="89">
        <v>46296.0</v>
      </c>
      <c r="D137" s="90" t="s">
        <v>97</v>
      </c>
      <c r="E137" s="90" t="s">
        <v>40</v>
      </c>
      <c r="F137" s="90" t="s">
        <v>2</v>
      </c>
      <c r="G137" s="90" t="s">
        <v>43</v>
      </c>
      <c r="H137" s="90" t="s">
        <v>100</v>
      </c>
      <c r="I137" s="91">
        <v>220.0</v>
      </c>
      <c r="J137" s="91">
        <v>0.0</v>
      </c>
      <c r="K137" s="91">
        <v>220.0</v>
      </c>
      <c r="L137" s="90" t="s">
        <v>37</v>
      </c>
      <c r="M137" s="21"/>
      <c r="N137" s="90">
        <v>0.0</v>
      </c>
      <c r="O137" s="90" t="s">
        <v>312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0" t="s">
        <v>317</v>
      </c>
      <c r="B138" s="88">
        <v>46316.0</v>
      </c>
      <c r="C138" s="89">
        <v>46296.0</v>
      </c>
      <c r="D138" s="90" t="s">
        <v>114</v>
      </c>
      <c r="E138" s="90" t="s">
        <v>40</v>
      </c>
      <c r="F138" s="90" t="s">
        <v>2</v>
      </c>
      <c r="G138" s="90" t="s">
        <v>47</v>
      </c>
      <c r="H138" s="90" t="s">
        <v>99</v>
      </c>
      <c r="I138" s="91">
        <v>410.0</v>
      </c>
      <c r="J138" s="91">
        <v>0.0</v>
      </c>
      <c r="K138" s="91">
        <v>410.0</v>
      </c>
      <c r="L138" s="90" t="s">
        <v>37</v>
      </c>
      <c r="M138" s="21"/>
      <c r="N138" s="90">
        <v>0.0</v>
      </c>
      <c r="O138" s="90" t="s">
        <v>312</v>
      </c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90" t="s">
        <v>318</v>
      </c>
      <c r="B139" s="88">
        <v>46299.0</v>
      </c>
      <c r="C139" s="89">
        <v>46296.0</v>
      </c>
      <c r="D139" s="90" t="s">
        <v>52</v>
      </c>
      <c r="E139" s="90" t="s">
        <v>40</v>
      </c>
      <c r="F139" s="90" t="s">
        <v>31</v>
      </c>
      <c r="G139" s="90" t="s">
        <v>53</v>
      </c>
      <c r="H139" s="90"/>
      <c r="I139" s="91">
        <v>0.0</v>
      </c>
      <c r="J139" s="91">
        <v>330.0</v>
      </c>
      <c r="K139" s="91">
        <v>-330.0</v>
      </c>
      <c r="L139" s="90" t="s">
        <v>37</v>
      </c>
      <c r="M139" s="21"/>
      <c r="N139" s="90">
        <v>0.0</v>
      </c>
      <c r="O139" s="90" t="s">
        <v>312</v>
      </c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90" t="s">
        <v>319</v>
      </c>
      <c r="B140" s="88">
        <v>46303.0</v>
      </c>
      <c r="C140" s="89">
        <v>46296.0</v>
      </c>
      <c r="D140" s="90" t="s">
        <v>95</v>
      </c>
      <c r="E140" s="90" t="s">
        <v>40</v>
      </c>
      <c r="F140" s="90" t="s">
        <v>31</v>
      </c>
      <c r="G140" s="90" t="s">
        <v>65</v>
      </c>
      <c r="H140" s="90"/>
      <c r="I140" s="91">
        <v>0.0</v>
      </c>
      <c r="J140" s="91">
        <v>42.0</v>
      </c>
      <c r="K140" s="91">
        <v>-42.0</v>
      </c>
      <c r="L140" s="90" t="s">
        <v>37</v>
      </c>
      <c r="M140" s="21"/>
      <c r="N140" s="90">
        <v>0.0</v>
      </c>
      <c r="O140" s="90" t="s">
        <v>312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90" t="s">
        <v>320</v>
      </c>
      <c r="B141" s="88">
        <v>46297.0</v>
      </c>
      <c r="C141" s="89">
        <v>46296.0</v>
      </c>
      <c r="D141" s="90" t="s">
        <v>28</v>
      </c>
      <c r="E141" s="90" t="s">
        <v>29</v>
      </c>
      <c r="F141" s="90" t="s">
        <v>31</v>
      </c>
      <c r="G141" s="90" t="s">
        <v>32</v>
      </c>
      <c r="H141" s="90"/>
      <c r="I141" s="91">
        <v>0.0</v>
      </c>
      <c r="J141" s="91">
        <v>55.0</v>
      </c>
      <c r="K141" s="91">
        <v>-55.0</v>
      </c>
      <c r="L141" s="90" t="s">
        <v>37</v>
      </c>
      <c r="M141" s="21"/>
      <c r="N141" s="90">
        <v>0.0</v>
      </c>
      <c r="O141" s="90" t="s">
        <v>312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0" t="s">
        <v>321</v>
      </c>
      <c r="B142" s="88">
        <v>46306.0</v>
      </c>
      <c r="C142" s="89">
        <v>46296.0</v>
      </c>
      <c r="D142" s="90" t="s">
        <v>64</v>
      </c>
      <c r="E142" s="90" t="s">
        <v>29</v>
      </c>
      <c r="F142" s="90" t="s">
        <v>31</v>
      </c>
      <c r="G142" s="90" t="s">
        <v>32</v>
      </c>
      <c r="H142" s="90"/>
      <c r="I142" s="91">
        <v>0.0</v>
      </c>
      <c r="J142" s="91">
        <v>29.0</v>
      </c>
      <c r="K142" s="91">
        <v>-29.0</v>
      </c>
      <c r="L142" s="90" t="s">
        <v>37</v>
      </c>
      <c r="M142" s="21"/>
      <c r="N142" s="90">
        <v>0.0</v>
      </c>
      <c r="O142" s="90" t="s">
        <v>312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90" t="s">
        <v>322</v>
      </c>
      <c r="B143" s="88">
        <v>46313.0</v>
      </c>
      <c r="C143" s="89">
        <v>46296.0</v>
      </c>
      <c r="D143" s="90" t="s">
        <v>105</v>
      </c>
      <c r="E143" s="90" t="s">
        <v>29</v>
      </c>
      <c r="F143" s="90" t="s">
        <v>31</v>
      </c>
      <c r="G143" s="90" t="s">
        <v>73</v>
      </c>
      <c r="H143" s="90"/>
      <c r="I143" s="91">
        <v>0.0</v>
      </c>
      <c r="J143" s="91">
        <v>165.0</v>
      </c>
      <c r="K143" s="91">
        <v>-165.0</v>
      </c>
      <c r="L143" s="90" t="s">
        <v>37</v>
      </c>
      <c r="M143" s="21"/>
      <c r="N143" s="90">
        <v>0.0</v>
      </c>
      <c r="O143" s="90" t="s">
        <v>312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90" t="s">
        <v>323</v>
      </c>
      <c r="B144" s="88">
        <v>46319.0</v>
      </c>
      <c r="C144" s="89">
        <v>46296.0</v>
      </c>
      <c r="D144" s="90" t="s">
        <v>108</v>
      </c>
      <c r="E144" s="90" t="s">
        <v>40</v>
      </c>
      <c r="F144" s="90" t="s">
        <v>31</v>
      </c>
      <c r="G144" s="90" t="s">
        <v>77</v>
      </c>
      <c r="H144" s="90"/>
      <c r="I144" s="91">
        <v>0.0</v>
      </c>
      <c r="J144" s="91">
        <v>120.0</v>
      </c>
      <c r="K144" s="91">
        <v>-120.0</v>
      </c>
      <c r="L144" s="90" t="s">
        <v>37</v>
      </c>
      <c r="M144" s="90" t="s">
        <v>110</v>
      </c>
      <c r="N144" s="90">
        <v>0.0</v>
      </c>
      <c r="O144" s="90" t="s">
        <v>312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90" t="s">
        <v>324</v>
      </c>
      <c r="B145" s="88">
        <v>46322.0</v>
      </c>
      <c r="C145" s="89">
        <v>46296.0</v>
      </c>
      <c r="D145" s="90" t="s">
        <v>228</v>
      </c>
      <c r="E145" s="90" t="s">
        <v>29</v>
      </c>
      <c r="F145" s="90" t="s">
        <v>31</v>
      </c>
      <c r="G145" s="90" t="s">
        <v>79</v>
      </c>
      <c r="H145" s="90"/>
      <c r="I145" s="91">
        <v>0.0</v>
      </c>
      <c r="J145" s="91">
        <v>610.0</v>
      </c>
      <c r="K145" s="91">
        <v>-610.0</v>
      </c>
      <c r="L145" s="90" t="s">
        <v>37</v>
      </c>
      <c r="M145" s="21"/>
      <c r="N145" s="90">
        <v>0.0</v>
      </c>
      <c r="O145" s="90" t="s">
        <v>312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90" t="s">
        <v>325</v>
      </c>
      <c r="B146" s="88">
        <v>46329.0</v>
      </c>
      <c r="C146" s="89">
        <v>46327.0</v>
      </c>
      <c r="D146" s="90" t="s">
        <v>45</v>
      </c>
      <c r="E146" s="90" t="s">
        <v>40</v>
      </c>
      <c r="F146" s="90" t="s">
        <v>2</v>
      </c>
      <c r="G146" s="90" t="s">
        <v>3</v>
      </c>
      <c r="H146" s="90" t="s">
        <v>46</v>
      </c>
      <c r="I146" s="91">
        <v>2580.0</v>
      </c>
      <c r="J146" s="91">
        <v>0.0</v>
      </c>
      <c r="K146" s="91">
        <v>2580.0</v>
      </c>
      <c r="L146" s="90" t="s">
        <v>37</v>
      </c>
      <c r="M146" s="21"/>
      <c r="N146" s="90">
        <v>0.0</v>
      </c>
      <c r="O146" s="90" t="s">
        <v>312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90" t="s">
        <v>326</v>
      </c>
      <c r="B147" s="88">
        <v>46332.0</v>
      </c>
      <c r="C147" s="89">
        <v>46327.0</v>
      </c>
      <c r="D147" s="90" t="s">
        <v>59</v>
      </c>
      <c r="E147" s="90" t="s">
        <v>60</v>
      </c>
      <c r="F147" s="90" t="s">
        <v>2</v>
      </c>
      <c r="G147" s="90" t="s">
        <v>15</v>
      </c>
      <c r="H147" s="90" t="s">
        <v>62</v>
      </c>
      <c r="I147" s="91">
        <v>760.0</v>
      </c>
      <c r="J147" s="91">
        <v>0.0</v>
      </c>
      <c r="K147" s="91">
        <v>760.0</v>
      </c>
      <c r="L147" s="90" t="s">
        <v>37</v>
      </c>
      <c r="M147" s="21"/>
      <c r="N147" s="90">
        <v>0.0</v>
      </c>
      <c r="O147" s="90" t="s">
        <v>312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90" t="s">
        <v>327</v>
      </c>
      <c r="B148" s="88">
        <v>46335.0</v>
      </c>
      <c r="C148" s="89">
        <v>46327.0</v>
      </c>
      <c r="D148" s="90" t="s">
        <v>328</v>
      </c>
      <c r="E148" s="90" t="s">
        <v>40</v>
      </c>
      <c r="F148" s="90" t="s">
        <v>2</v>
      </c>
      <c r="G148" s="90" t="s">
        <v>26</v>
      </c>
      <c r="H148" s="90" t="s">
        <v>69</v>
      </c>
      <c r="I148" s="91">
        <v>3000.0</v>
      </c>
      <c r="J148" s="91">
        <v>0.0</v>
      </c>
      <c r="K148" s="91">
        <v>3000.0</v>
      </c>
      <c r="L148" s="90" t="s">
        <v>37</v>
      </c>
      <c r="M148" s="21"/>
      <c r="N148" s="90">
        <v>0.0</v>
      </c>
      <c r="O148" s="90" t="s">
        <v>312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90" t="s">
        <v>329</v>
      </c>
      <c r="B149" s="88">
        <v>46339.0</v>
      </c>
      <c r="C149" s="89">
        <v>46327.0</v>
      </c>
      <c r="D149" s="90" t="s">
        <v>330</v>
      </c>
      <c r="E149" s="90" t="s">
        <v>40</v>
      </c>
      <c r="F149" s="90" t="s">
        <v>2</v>
      </c>
      <c r="G149" s="90" t="s">
        <v>39</v>
      </c>
      <c r="H149" s="90" t="s">
        <v>88</v>
      </c>
      <c r="I149" s="91">
        <v>1325.0</v>
      </c>
      <c r="J149" s="91">
        <v>0.0</v>
      </c>
      <c r="K149" s="91">
        <v>1325.0</v>
      </c>
      <c r="L149" s="90" t="s">
        <v>37</v>
      </c>
      <c r="M149" s="21"/>
      <c r="N149" s="90">
        <v>0.0</v>
      </c>
      <c r="O149" s="90" t="s">
        <v>312</v>
      </c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0" t="s">
        <v>331</v>
      </c>
      <c r="B150" s="88">
        <v>46342.0</v>
      </c>
      <c r="C150" s="89">
        <v>46327.0</v>
      </c>
      <c r="D150" s="90" t="s">
        <v>97</v>
      </c>
      <c r="E150" s="90" t="s">
        <v>40</v>
      </c>
      <c r="F150" s="90" t="s">
        <v>2</v>
      </c>
      <c r="G150" s="90" t="s">
        <v>43</v>
      </c>
      <c r="H150" s="90" t="s">
        <v>100</v>
      </c>
      <c r="I150" s="91">
        <v>240.0</v>
      </c>
      <c r="J150" s="91">
        <v>0.0</v>
      </c>
      <c r="K150" s="91">
        <v>240.0</v>
      </c>
      <c r="L150" s="90" t="s">
        <v>37</v>
      </c>
      <c r="M150" s="21"/>
      <c r="N150" s="90">
        <v>0.0</v>
      </c>
      <c r="O150" s="90" t="s">
        <v>312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90" t="s">
        <v>332</v>
      </c>
      <c r="B151" s="88">
        <v>46347.0</v>
      </c>
      <c r="C151" s="89">
        <v>46327.0</v>
      </c>
      <c r="D151" s="90" t="s">
        <v>114</v>
      </c>
      <c r="E151" s="90" t="s">
        <v>40</v>
      </c>
      <c r="F151" s="90" t="s">
        <v>2</v>
      </c>
      <c r="G151" s="90" t="s">
        <v>47</v>
      </c>
      <c r="H151" s="90" t="s">
        <v>99</v>
      </c>
      <c r="I151" s="91">
        <v>445.0</v>
      </c>
      <c r="J151" s="91">
        <v>0.0</v>
      </c>
      <c r="K151" s="91">
        <v>445.0</v>
      </c>
      <c r="L151" s="90" t="s">
        <v>37</v>
      </c>
      <c r="M151" s="21"/>
      <c r="N151" s="90">
        <v>0.0</v>
      </c>
      <c r="O151" s="90" t="s">
        <v>312</v>
      </c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0" t="s">
        <v>333</v>
      </c>
      <c r="B152" s="88">
        <v>46330.0</v>
      </c>
      <c r="C152" s="89">
        <v>46327.0</v>
      </c>
      <c r="D152" s="90" t="s">
        <v>52</v>
      </c>
      <c r="E152" s="90" t="s">
        <v>40</v>
      </c>
      <c r="F152" s="90" t="s">
        <v>31</v>
      </c>
      <c r="G152" s="90" t="s">
        <v>53</v>
      </c>
      <c r="H152" s="90"/>
      <c r="I152" s="91">
        <v>0.0</v>
      </c>
      <c r="J152" s="91">
        <v>350.0</v>
      </c>
      <c r="K152" s="91">
        <v>-350.0</v>
      </c>
      <c r="L152" s="90" t="s">
        <v>37</v>
      </c>
      <c r="M152" s="21"/>
      <c r="N152" s="90">
        <v>0.0</v>
      </c>
      <c r="O152" s="90" t="s">
        <v>312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90" t="s">
        <v>334</v>
      </c>
      <c r="B153" s="88">
        <v>46334.0</v>
      </c>
      <c r="C153" s="89">
        <v>46327.0</v>
      </c>
      <c r="D153" s="90" t="s">
        <v>95</v>
      </c>
      <c r="E153" s="90" t="s">
        <v>40</v>
      </c>
      <c r="F153" s="90" t="s">
        <v>31</v>
      </c>
      <c r="G153" s="90" t="s">
        <v>65</v>
      </c>
      <c r="H153" s="90"/>
      <c r="I153" s="91">
        <v>0.0</v>
      </c>
      <c r="J153" s="91">
        <v>45.0</v>
      </c>
      <c r="K153" s="91">
        <v>-45.0</v>
      </c>
      <c r="L153" s="90" t="s">
        <v>37</v>
      </c>
      <c r="M153" s="21"/>
      <c r="N153" s="90">
        <v>0.0</v>
      </c>
      <c r="O153" s="90" t="s">
        <v>312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0" t="s">
        <v>335</v>
      </c>
      <c r="B154" s="88">
        <v>46328.0</v>
      </c>
      <c r="C154" s="89">
        <v>46327.0</v>
      </c>
      <c r="D154" s="90" t="s">
        <v>336</v>
      </c>
      <c r="E154" s="90" t="s">
        <v>29</v>
      </c>
      <c r="F154" s="90" t="s">
        <v>31</v>
      </c>
      <c r="G154" s="90" t="s">
        <v>32</v>
      </c>
      <c r="H154" s="90"/>
      <c r="I154" s="91">
        <v>0.0</v>
      </c>
      <c r="J154" s="91">
        <v>70.0</v>
      </c>
      <c r="K154" s="91">
        <v>-70.0</v>
      </c>
      <c r="L154" s="90" t="s">
        <v>37</v>
      </c>
      <c r="M154" s="90" t="s">
        <v>337</v>
      </c>
      <c r="N154" s="90">
        <v>0.0</v>
      </c>
      <c r="O154" s="90" t="s">
        <v>312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90" t="s">
        <v>338</v>
      </c>
      <c r="B155" s="88">
        <v>46337.0</v>
      </c>
      <c r="C155" s="89">
        <v>46327.0</v>
      </c>
      <c r="D155" s="90" t="s">
        <v>339</v>
      </c>
      <c r="E155" s="90" t="s">
        <v>29</v>
      </c>
      <c r="F155" s="90" t="s">
        <v>31</v>
      </c>
      <c r="G155" s="90" t="s">
        <v>70</v>
      </c>
      <c r="H155" s="90"/>
      <c r="I155" s="91">
        <v>0.0</v>
      </c>
      <c r="J155" s="91">
        <v>420.0</v>
      </c>
      <c r="K155" s="91">
        <v>-420.0</v>
      </c>
      <c r="L155" s="90" t="s">
        <v>37</v>
      </c>
      <c r="M155" s="90" t="s">
        <v>84</v>
      </c>
      <c r="N155" s="90">
        <v>0.0</v>
      </c>
      <c r="O155" s="90" t="s">
        <v>312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0" t="s">
        <v>340</v>
      </c>
      <c r="B156" s="88">
        <v>46341.0</v>
      </c>
      <c r="C156" s="89">
        <v>46327.0</v>
      </c>
      <c r="D156" s="90" t="s">
        <v>105</v>
      </c>
      <c r="E156" s="90" t="s">
        <v>29</v>
      </c>
      <c r="F156" s="90" t="s">
        <v>31</v>
      </c>
      <c r="G156" s="90" t="s">
        <v>73</v>
      </c>
      <c r="H156" s="90"/>
      <c r="I156" s="91">
        <v>0.0</v>
      </c>
      <c r="J156" s="91">
        <v>180.0</v>
      </c>
      <c r="K156" s="91">
        <v>-180.0</v>
      </c>
      <c r="L156" s="90" t="s">
        <v>37</v>
      </c>
      <c r="M156" s="21"/>
      <c r="N156" s="90">
        <v>0.0</v>
      </c>
      <c r="O156" s="90" t="s">
        <v>312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90" t="s">
        <v>341</v>
      </c>
      <c r="B157" s="88">
        <v>46344.0</v>
      </c>
      <c r="C157" s="89">
        <v>46327.0</v>
      </c>
      <c r="D157" s="90" t="s">
        <v>108</v>
      </c>
      <c r="E157" s="90" t="s">
        <v>40</v>
      </c>
      <c r="F157" s="90" t="s">
        <v>31</v>
      </c>
      <c r="G157" s="90" t="s">
        <v>77</v>
      </c>
      <c r="H157" s="90"/>
      <c r="I157" s="91">
        <v>0.0</v>
      </c>
      <c r="J157" s="91">
        <v>120.0</v>
      </c>
      <c r="K157" s="91">
        <v>-120.0</v>
      </c>
      <c r="L157" s="90" t="s">
        <v>37</v>
      </c>
      <c r="M157" s="90" t="s">
        <v>110</v>
      </c>
      <c r="N157" s="90">
        <v>0.0</v>
      </c>
      <c r="O157" s="90" t="s">
        <v>312</v>
      </c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0" t="s">
        <v>342</v>
      </c>
      <c r="B158" s="88">
        <v>46348.0</v>
      </c>
      <c r="C158" s="89">
        <v>46327.0</v>
      </c>
      <c r="D158" s="90" t="s">
        <v>343</v>
      </c>
      <c r="E158" s="90" t="s">
        <v>29</v>
      </c>
      <c r="F158" s="90" t="s">
        <v>31</v>
      </c>
      <c r="G158" s="90" t="s">
        <v>79</v>
      </c>
      <c r="H158" s="90"/>
      <c r="I158" s="91">
        <v>0.0</v>
      </c>
      <c r="J158" s="91">
        <v>640.0</v>
      </c>
      <c r="K158" s="91">
        <v>-640.0</v>
      </c>
      <c r="L158" s="90" t="s">
        <v>37</v>
      </c>
      <c r="M158" s="21"/>
      <c r="N158" s="90">
        <v>0.0</v>
      </c>
      <c r="O158" s="90" t="s">
        <v>312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90" t="s">
        <v>344</v>
      </c>
      <c r="B159" s="88">
        <v>46351.0</v>
      </c>
      <c r="C159" s="89">
        <v>46327.0</v>
      </c>
      <c r="D159" s="90" t="s">
        <v>125</v>
      </c>
      <c r="E159" s="90" t="s">
        <v>40</v>
      </c>
      <c r="F159" s="90" t="s">
        <v>31</v>
      </c>
      <c r="G159" s="90" t="s">
        <v>83</v>
      </c>
      <c r="H159" s="90"/>
      <c r="I159" s="91">
        <v>0.0</v>
      </c>
      <c r="J159" s="91">
        <v>140.0</v>
      </c>
      <c r="K159" s="91">
        <v>-140.0</v>
      </c>
      <c r="L159" s="90" t="s">
        <v>37</v>
      </c>
      <c r="M159" s="21"/>
      <c r="N159" s="90">
        <v>0.0</v>
      </c>
      <c r="O159" s="90" t="s">
        <v>312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0" t="s">
        <v>345</v>
      </c>
      <c r="B160" s="88">
        <v>46354.0</v>
      </c>
      <c r="C160" s="89">
        <v>46327.0</v>
      </c>
      <c r="D160" s="90" t="s">
        <v>346</v>
      </c>
      <c r="E160" s="90" t="s">
        <v>40</v>
      </c>
      <c r="F160" s="90" t="s">
        <v>31</v>
      </c>
      <c r="G160" s="90" t="s">
        <v>89</v>
      </c>
      <c r="H160" s="90"/>
      <c r="I160" s="91">
        <v>0.0</v>
      </c>
      <c r="J160" s="91">
        <v>72.0</v>
      </c>
      <c r="K160" s="91">
        <v>-72.0</v>
      </c>
      <c r="L160" s="90" t="s">
        <v>37</v>
      </c>
      <c r="M160" s="21"/>
      <c r="N160" s="90">
        <v>0.0</v>
      </c>
      <c r="O160" s="90" t="s">
        <v>312</v>
      </c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90" t="s">
        <v>347</v>
      </c>
      <c r="B161" s="88">
        <v>46359.0</v>
      </c>
      <c r="C161" s="89">
        <v>46357.0</v>
      </c>
      <c r="D161" s="90" t="s">
        <v>45</v>
      </c>
      <c r="E161" s="90" t="s">
        <v>40</v>
      </c>
      <c r="F161" s="90" t="s">
        <v>2</v>
      </c>
      <c r="G161" s="90" t="s">
        <v>3</v>
      </c>
      <c r="H161" s="90" t="s">
        <v>46</v>
      </c>
      <c r="I161" s="91">
        <v>2780.0</v>
      </c>
      <c r="J161" s="91">
        <v>0.0</v>
      </c>
      <c r="K161" s="91">
        <v>2780.0</v>
      </c>
      <c r="L161" s="90" t="s">
        <v>37</v>
      </c>
      <c r="M161" s="21"/>
      <c r="N161" s="90">
        <v>0.0</v>
      </c>
      <c r="O161" s="90" t="s">
        <v>312</v>
      </c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0" t="s">
        <v>348</v>
      </c>
      <c r="B162" s="88">
        <v>46362.0</v>
      </c>
      <c r="C162" s="89">
        <v>46357.0</v>
      </c>
      <c r="D162" s="90" t="s">
        <v>59</v>
      </c>
      <c r="E162" s="90" t="s">
        <v>60</v>
      </c>
      <c r="F162" s="90" t="s">
        <v>2</v>
      </c>
      <c r="G162" s="90" t="s">
        <v>15</v>
      </c>
      <c r="H162" s="90" t="s">
        <v>62</v>
      </c>
      <c r="I162" s="91">
        <v>830.0</v>
      </c>
      <c r="J162" s="91">
        <v>0.0</v>
      </c>
      <c r="K162" s="91">
        <v>830.0</v>
      </c>
      <c r="L162" s="90" t="s">
        <v>37</v>
      </c>
      <c r="M162" s="21"/>
      <c r="N162" s="90">
        <v>0.0</v>
      </c>
      <c r="O162" s="90" t="s">
        <v>312</v>
      </c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90" t="s">
        <v>349</v>
      </c>
      <c r="B163" s="88">
        <v>46365.0</v>
      </c>
      <c r="C163" s="89">
        <v>46357.0</v>
      </c>
      <c r="D163" s="90" t="s">
        <v>350</v>
      </c>
      <c r="E163" s="90" t="s">
        <v>40</v>
      </c>
      <c r="F163" s="90" t="s">
        <v>2</v>
      </c>
      <c r="G163" s="90" t="s">
        <v>26</v>
      </c>
      <c r="H163" s="90" t="s">
        <v>69</v>
      </c>
      <c r="I163" s="91">
        <v>3300.0</v>
      </c>
      <c r="J163" s="91">
        <v>0.0</v>
      </c>
      <c r="K163" s="91">
        <v>3300.0</v>
      </c>
      <c r="L163" s="90" t="s">
        <v>37</v>
      </c>
      <c r="M163" s="21"/>
      <c r="N163" s="90">
        <v>0.0</v>
      </c>
      <c r="O163" s="90" t="s">
        <v>312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0" t="s">
        <v>351</v>
      </c>
      <c r="B164" s="88">
        <v>46369.0</v>
      </c>
      <c r="C164" s="89">
        <v>46357.0</v>
      </c>
      <c r="D164" s="90" t="s">
        <v>330</v>
      </c>
      <c r="E164" s="90" t="s">
        <v>40</v>
      </c>
      <c r="F164" s="90" t="s">
        <v>2</v>
      </c>
      <c r="G164" s="90" t="s">
        <v>39</v>
      </c>
      <c r="H164" s="90" t="s">
        <v>88</v>
      </c>
      <c r="I164" s="91">
        <v>1540.0</v>
      </c>
      <c r="J164" s="91">
        <v>0.0</v>
      </c>
      <c r="K164" s="91">
        <v>1540.0</v>
      </c>
      <c r="L164" s="90" t="s">
        <v>37</v>
      </c>
      <c r="M164" s="21"/>
      <c r="N164" s="90">
        <v>0.0</v>
      </c>
      <c r="O164" s="90" t="s">
        <v>312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90" t="s">
        <v>352</v>
      </c>
      <c r="B165" s="88">
        <v>46372.0</v>
      </c>
      <c r="C165" s="89">
        <v>46357.0</v>
      </c>
      <c r="D165" s="90" t="s">
        <v>97</v>
      </c>
      <c r="E165" s="90" t="s">
        <v>40</v>
      </c>
      <c r="F165" s="90" t="s">
        <v>2</v>
      </c>
      <c r="G165" s="90" t="s">
        <v>43</v>
      </c>
      <c r="H165" s="90" t="s">
        <v>100</v>
      </c>
      <c r="I165" s="91">
        <v>265.0</v>
      </c>
      <c r="J165" s="91">
        <v>0.0</v>
      </c>
      <c r="K165" s="91">
        <v>265.0</v>
      </c>
      <c r="L165" s="90" t="s">
        <v>37</v>
      </c>
      <c r="M165" s="21"/>
      <c r="N165" s="90">
        <v>0.0</v>
      </c>
      <c r="O165" s="90" t="s">
        <v>312</v>
      </c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0" t="s">
        <v>353</v>
      </c>
      <c r="B166" s="88">
        <v>46377.0</v>
      </c>
      <c r="C166" s="89">
        <v>46357.0</v>
      </c>
      <c r="D166" s="90" t="s">
        <v>114</v>
      </c>
      <c r="E166" s="90" t="s">
        <v>40</v>
      </c>
      <c r="F166" s="90" t="s">
        <v>2</v>
      </c>
      <c r="G166" s="90" t="s">
        <v>47</v>
      </c>
      <c r="H166" s="90" t="s">
        <v>99</v>
      </c>
      <c r="I166" s="91">
        <v>490.0</v>
      </c>
      <c r="J166" s="91">
        <v>0.0</v>
      </c>
      <c r="K166" s="91">
        <v>490.0</v>
      </c>
      <c r="L166" s="90" t="s">
        <v>37</v>
      </c>
      <c r="M166" s="21"/>
      <c r="N166" s="90">
        <v>0.0</v>
      </c>
      <c r="O166" s="90" t="s">
        <v>312</v>
      </c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90" t="s">
        <v>354</v>
      </c>
      <c r="B167" s="88">
        <v>46360.0</v>
      </c>
      <c r="C167" s="89">
        <v>46357.0</v>
      </c>
      <c r="D167" s="90" t="s">
        <v>52</v>
      </c>
      <c r="E167" s="90" t="s">
        <v>40</v>
      </c>
      <c r="F167" s="90" t="s">
        <v>31</v>
      </c>
      <c r="G167" s="90" t="s">
        <v>53</v>
      </c>
      <c r="H167" s="90"/>
      <c r="I167" s="91">
        <v>0.0</v>
      </c>
      <c r="J167" s="91">
        <v>375.0</v>
      </c>
      <c r="K167" s="91">
        <v>-375.0</v>
      </c>
      <c r="L167" s="90" t="s">
        <v>37</v>
      </c>
      <c r="M167" s="21"/>
      <c r="N167" s="90">
        <v>0.0</v>
      </c>
      <c r="O167" s="90" t="s">
        <v>312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0" t="s">
        <v>355</v>
      </c>
      <c r="B168" s="88">
        <v>46364.0</v>
      </c>
      <c r="C168" s="89">
        <v>46357.0</v>
      </c>
      <c r="D168" s="90" t="s">
        <v>95</v>
      </c>
      <c r="E168" s="90" t="s">
        <v>40</v>
      </c>
      <c r="F168" s="90" t="s">
        <v>31</v>
      </c>
      <c r="G168" s="90" t="s">
        <v>65</v>
      </c>
      <c r="H168" s="90"/>
      <c r="I168" s="91">
        <v>0.0</v>
      </c>
      <c r="J168" s="91">
        <v>49.0</v>
      </c>
      <c r="K168" s="91">
        <v>-49.0</v>
      </c>
      <c r="L168" s="90" t="s">
        <v>37</v>
      </c>
      <c r="M168" s="21"/>
      <c r="N168" s="90">
        <v>0.0</v>
      </c>
      <c r="O168" s="90" t="s">
        <v>312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90" t="s">
        <v>356</v>
      </c>
      <c r="B169" s="88">
        <v>46358.0</v>
      </c>
      <c r="C169" s="89">
        <v>46357.0</v>
      </c>
      <c r="D169" s="90" t="s">
        <v>32</v>
      </c>
      <c r="E169" s="90" t="s">
        <v>29</v>
      </c>
      <c r="F169" s="90" t="s">
        <v>31</v>
      </c>
      <c r="G169" s="90" t="s">
        <v>32</v>
      </c>
      <c r="H169" s="90"/>
      <c r="I169" s="91">
        <v>0.0</v>
      </c>
      <c r="J169" s="91">
        <v>84.0</v>
      </c>
      <c r="K169" s="91">
        <v>-84.0</v>
      </c>
      <c r="L169" s="90" t="s">
        <v>37</v>
      </c>
      <c r="M169" s="90" t="s">
        <v>357</v>
      </c>
      <c r="N169" s="90">
        <v>0.0</v>
      </c>
      <c r="O169" s="90" t="s">
        <v>312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90" t="s">
        <v>358</v>
      </c>
      <c r="B170" s="88">
        <v>46367.0</v>
      </c>
      <c r="C170" s="89">
        <v>46357.0</v>
      </c>
      <c r="D170" s="90" t="s">
        <v>359</v>
      </c>
      <c r="E170" s="90" t="s">
        <v>29</v>
      </c>
      <c r="F170" s="90" t="s">
        <v>31</v>
      </c>
      <c r="G170" s="90" t="s">
        <v>73</v>
      </c>
      <c r="H170" s="90"/>
      <c r="I170" s="91">
        <v>0.0</v>
      </c>
      <c r="J170" s="91">
        <v>210.0</v>
      </c>
      <c r="K170" s="91">
        <v>-210.0</v>
      </c>
      <c r="L170" s="90" t="s">
        <v>37</v>
      </c>
      <c r="M170" s="21"/>
      <c r="N170" s="90">
        <v>0.0</v>
      </c>
      <c r="O170" s="90" t="s">
        <v>312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90" t="s">
        <v>360</v>
      </c>
      <c r="B171" s="88">
        <v>46374.0</v>
      </c>
      <c r="C171" s="89">
        <v>46357.0</v>
      </c>
      <c r="D171" s="90" t="s">
        <v>108</v>
      </c>
      <c r="E171" s="90" t="s">
        <v>40</v>
      </c>
      <c r="F171" s="90" t="s">
        <v>31</v>
      </c>
      <c r="G171" s="90" t="s">
        <v>77</v>
      </c>
      <c r="H171" s="90"/>
      <c r="I171" s="91">
        <v>0.0</v>
      </c>
      <c r="J171" s="91">
        <v>120.0</v>
      </c>
      <c r="K171" s="91">
        <v>-120.0</v>
      </c>
      <c r="L171" s="90" t="s">
        <v>37</v>
      </c>
      <c r="M171" s="90" t="s">
        <v>110</v>
      </c>
      <c r="N171" s="90">
        <v>0.0</v>
      </c>
      <c r="O171" s="90" t="s">
        <v>312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0" t="s">
        <v>361</v>
      </c>
      <c r="B172" s="88">
        <v>46376.0</v>
      </c>
      <c r="C172" s="89">
        <v>46357.0</v>
      </c>
      <c r="D172" s="90" t="s">
        <v>362</v>
      </c>
      <c r="E172" s="90" t="s">
        <v>29</v>
      </c>
      <c r="F172" s="90" t="s">
        <v>31</v>
      </c>
      <c r="G172" s="90" t="s">
        <v>79</v>
      </c>
      <c r="H172" s="90"/>
      <c r="I172" s="91">
        <v>0.0</v>
      </c>
      <c r="J172" s="91">
        <v>720.0</v>
      </c>
      <c r="K172" s="91">
        <v>-720.0</v>
      </c>
      <c r="L172" s="90" t="s">
        <v>37</v>
      </c>
      <c r="M172" s="21"/>
      <c r="N172" s="90">
        <v>0.0</v>
      </c>
      <c r="O172" s="90" t="s">
        <v>312</v>
      </c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90" t="s">
        <v>363</v>
      </c>
      <c r="B173" s="88">
        <v>46379.0</v>
      </c>
      <c r="C173" s="89">
        <v>46357.0</v>
      </c>
      <c r="D173" s="90" t="s">
        <v>364</v>
      </c>
      <c r="E173" s="90" t="s">
        <v>40</v>
      </c>
      <c r="F173" s="90" t="s">
        <v>31</v>
      </c>
      <c r="G173" s="90" t="s">
        <v>83</v>
      </c>
      <c r="H173" s="90"/>
      <c r="I173" s="91">
        <v>0.0</v>
      </c>
      <c r="J173" s="91">
        <v>165.0</v>
      </c>
      <c r="K173" s="91">
        <v>-165.0</v>
      </c>
      <c r="L173" s="90" t="s">
        <v>37</v>
      </c>
      <c r="M173" s="21"/>
      <c r="N173" s="90">
        <v>0.0</v>
      </c>
      <c r="O173" s="90" t="s">
        <v>312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0" t="s">
        <v>365</v>
      </c>
      <c r="B174" s="88">
        <v>46383.0</v>
      </c>
      <c r="C174" s="89">
        <v>46357.0</v>
      </c>
      <c r="D174" s="90" t="s">
        <v>346</v>
      </c>
      <c r="E174" s="90" t="s">
        <v>40</v>
      </c>
      <c r="F174" s="90" t="s">
        <v>31</v>
      </c>
      <c r="G174" s="90" t="s">
        <v>89</v>
      </c>
      <c r="H174" s="90"/>
      <c r="I174" s="91">
        <v>0.0</v>
      </c>
      <c r="J174" s="91">
        <v>95.0</v>
      </c>
      <c r="K174" s="91">
        <v>-95.0</v>
      </c>
      <c r="L174" s="90" t="s">
        <v>37</v>
      </c>
      <c r="M174" s="21"/>
      <c r="N174" s="90">
        <v>0.0</v>
      </c>
      <c r="O174" s="90" t="s">
        <v>312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90" t="s">
        <v>366</v>
      </c>
      <c r="B175" s="88">
        <v>46385.0</v>
      </c>
      <c r="C175" s="89">
        <v>46357.0</v>
      </c>
      <c r="D175" s="90" t="s">
        <v>367</v>
      </c>
      <c r="E175" s="90" t="s">
        <v>29</v>
      </c>
      <c r="F175" s="90" t="s">
        <v>31</v>
      </c>
      <c r="G175" s="90" t="s">
        <v>93</v>
      </c>
      <c r="H175" s="90"/>
      <c r="I175" s="91">
        <v>0.0</v>
      </c>
      <c r="J175" s="91">
        <v>110.0</v>
      </c>
      <c r="K175" s="91">
        <v>-110.0</v>
      </c>
      <c r="L175" s="90" t="s">
        <v>37</v>
      </c>
      <c r="M175" s="21"/>
      <c r="N175" s="90">
        <v>0.0</v>
      </c>
      <c r="O175" s="90" t="s">
        <v>312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2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2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2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2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2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2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2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2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2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2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2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2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2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2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2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2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2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2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2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2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2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2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2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2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2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C201" s="103"/>
    </row>
    <row r="202" ht="15.75" customHeight="1">
      <c r="C202" s="103"/>
    </row>
    <row r="203" ht="15.75" customHeight="1">
      <c r="C203" s="103"/>
    </row>
    <row r="204" ht="15.75" customHeight="1">
      <c r="C204" s="103"/>
    </row>
    <row r="205" ht="15.75" customHeight="1">
      <c r="C205" s="103"/>
    </row>
    <row r="206" ht="15.75" customHeight="1">
      <c r="C206" s="103"/>
    </row>
    <row r="207" ht="15.75" customHeight="1">
      <c r="C207" s="103"/>
    </row>
    <row r="208" ht="15.75" customHeight="1">
      <c r="C208" s="103"/>
    </row>
    <row r="209" ht="15.75" customHeight="1">
      <c r="C209" s="103"/>
    </row>
    <row r="210" ht="15.75" customHeight="1">
      <c r="C210" s="103"/>
    </row>
    <row r="211" ht="15.75" customHeight="1">
      <c r="C211" s="103"/>
    </row>
    <row r="212" ht="15.75" customHeight="1">
      <c r="C212" s="103"/>
    </row>
    <row r="213" ht="15.75" customHeight="1">
      <c r="C213" s="103"/>
    </row>
    <row r="214" ht="15.75" customHeight="1">
      <c r="C214" s="103"/>
    </row>
    <row r="215" ht="15.75" customHeight="1">
      <c r="C215" s="103"/>
    </row>
    <row r="216" ht="15.75" customHeight="1">
      <c r="C216" s="103"/>
    </row>
    <row r="217" ht="15.75" customHeight="1">
      <c r="C217" s="103"/>
    </row>
    <row r="218" ht="15.75" customHeight="1">
      <c r="C218" s="103"/>
    </row>
    <row r="219" ht="15.75" customHeight="1">
      <c r="C219" s="103"/>
    </row>
    <row r="220" ht="15.75" customHeight="1">
      <c r="C220" s="103"/>
    </row>
    <row r="221" ht="15.75" customHeight="1">
      <c r="C221" s="103"/>
    </row>
    <row r="222" ht="15.75" customHeight="1">
      <c r="C222" s="103"/>
    </row>
    <row r="223" ht="15.75" customHeight="1">
      <c r="C223" s="103"/>
    </row>
    <row r="224" ht="15.75" customHeight="1">
      <c r="C224" s="103"/>
    </row>
    <row r="225" ht="15.75" customHeight="1">
      <c r="C225" s="103"/>
    </row>
    <row r="226" ht="15.75" customHeight="1">
      <c r="C226" s="103"/>
    </row>
    <row r="227" ht="15.75" customHeight="1">
      <c r="C227" s="103"/>
    </row>
    <row r="228" ht="15.75" customHeight="1">
      <c r="C228" s="103"/>
    </row>
    <row r="229" ht="15.75" customHeight="1">
      <c r="C229" s="103"/>
    </row>
    <row r="230" ht="15.75" customHeight="1">
      <c r="C230" s="103"/>
    </row>
    <row r="231" ht="15.75" customHeight="1">
      <c r="C231" s="103"/>
    </row>
    <row r="232" ht="15.75" customHeight="1">
      <c r="C232" s="103"/>
    </row>
    <row r="233" ht="15.75" customHeight="1">
      <c r="C233" s="103"/>
    </row>
    <row r="234" ht="15.75" customHeight="1">
      <c r="C234" s="103"/>
    </row>
    <row r="235" ht="15.75" customHeight="1">
      <c r="C235" s="103"/>
    </row>
    <row r="236" ht="15.75" customHeight="1">
      <c r="C236" s="103"/>
    </row>
    <row r="237" ht="15.75" customHeight="1">
      <c r="C237" s="103"/>
    </row>
    <row r="238" ht="15.75" customHeight="1">
      <c r="C238" s="103"/>
    </row>
    <row r="239" ht="15.75" customHeight="1">
      <c r="C239" s="103"/>
    </row>
    <row r="240" ht="15.75" customHeight="1">
      <c r="C240" s="103"/>
    </row>
    <row r="241" ht="15.75" customHeight="1">
      <c r="C241" s="103"/>
    </row>
    <row r="242" ht="15.75" customHeight="1">
      <c r="C242" s="103"/>
    </row>
    <row r="243" ht="15.75" customHeight="1">
      <c r="C243" s="103"/>
    </row>
    <row r="244" ht="15.75" customHeight="1">
      <c r="C244" s="103"/>
    </row>
    <row r="245" ht="15.75" customHeight="1">
      <c r="C245" s="103"/>
    </row>
    <row r="246" ht="15.75" customHeight="1">
      <c r="C246" s="103"/>
    </row>
    <row r="247" ht="15.75" customHeight="1">
      <c r="C247" s="103"/>
    </row>
    <row r="248" ht="15.75" customHeight="1">
      <c r="C248" s="103"/>
    </row>
    <row r="249" ht="15.75" customHeight="1">
      <c r="C249" s="103"/>
    </row>
    <row r="250" ht="15.75" customHeight="1">
      <c r="C250" s="103"/>
    </row>
    <row r="251" ht="15.75" customHeight="1">
      <c r="C251" s="103"/>
    </row>
    <row r="252" ht="15.75" customHeight="1">
      <c r="C252" s="103"/>
    </row>
    <row r="253" ht="15.75" customHeight="1">
      <c r="C253" s="103"/>
    </row>
    <row r="254" ht="15.75" customHeight="1">
      <c r="C254" s="103"/>
    </row>
    <row r="255" ht="15.75" customHeight="1">
      <c r="C255" s="103"/>
    </row>
    <row r="256" ht="15.75" customHeight="1">
      <c r="C256" s="103"/>
    </row>
    <row r="257" ht="15.75" customHeight="1">
      <c r="C257" s="103"/>
    </row>
    <row r="258" ht="15.75" customHeight="1">
      <c r="C258" s="103"/>
    </row>
    <row r="259" ht="15.75" customHeight="1">
      <c r="C259" s="103"/>
    </row>
    <row r="260" ht="15.75" customHeight="1">
      <c r="C260" s="103"/>
    </row>
    <row r="261" ht="15.75" customHeight="1">
      <c r="C261" s="103"/>
    </row>
    <row r="262" ht="15.75" customHeight="1">
      <c r="C262" s="103"/>
    </row>
    <row r="263" ht="15.75" customHeight="1">
      <c r="C263" s="103"/>
    </row>
    <row r="264" ht="15.75" customHeight="1">
      <c r="C264" s="103"/>
    </row>
    <row r="265" ht="15.75" customHeight="1">
      <c r="C265" s="103"/>
    </row>
    <row r="266" ht="15.75" customHeight="1">
      <c r="C266" s="103"/>
    </row>
    <row r="267" ht="15.75" customHeight="1">
      <c r="C267" s="103"/>
    </row>
    <row r="268" ht="15.75" customHeight="1">
      <c r="C268" s="103"/>
    </row>
    <row r="269" ht="15.75" customHeight="1">
      <c r="C269" s="103"/>
    </row>
    <row r="270" ht="15.75" customHeight="1">
      <c r="C270" s="103"/>
    </row>
    <row r="271" ht="15.75" customHeight="1">
      <c r="C271" s="103"/>
    </row>
    <row r="272" ht="15.75" customHeight="1">
      <c r="C272" s="103"/>
    </row>
    <row r="273" ht="15.75" customHeight="1">
      <c r="C273" s="103"/>
    </row>
    <row r="274" ht="15.75" customHeight="1">
      <c r="C274" s="103"/>
    </row>
    <row r="275" ht="15.75" customHeight="1">
      <c r="C275" s="103"/>
    </row>
    <row r="276" ht="15.75" customHeight="1">
      <c r="C276" s="103"/>
    </row>
    <row r="277" ht="15.75" customHeight="1">
      <c r="C277" s="103"/>
    </row>
    <row r="278" ht="15.75" customHeight="1">
      <c r="C278" s="103"/>
    </row>
    <row r="279" ht="15.75" customHeight="1">
      <c r="C279" s="103"/>
    </row>
    <row r="280" ht="15.75" customHeight="1">
      <c r="C280" s="103"/>
    </row>
    <row r="281" ht="15.75" customHeight="1">
      <c r="C281" s="103"/>
    </row>
    <row r="282" ht="15.75" customHeight="1">
      <c r="C282" s="103"/>
    </row>
    <row r="283" ht="15.75" customHeight="1">
      <c r="C283" s="103"/>
    </row>
    <row r="284" ht="15.75" customHeight="1">
      <c r="C284" s="103"/>
    </row>
    <row r="285" ht="15.75" customHeight="1">
      <c r="C285" s="103"/>
    </row>
    <row r="286" ht="15.75" customHeight="1">
      <c r="C286" s="103"/>
    </row>
    <row r="287" ht="15.75" customHeight="1">
      <c r="C287" s="103"/>
    </row>
    <row r="288" ht="15.75" customHeight="1">
      <c r="C288" s="103"/>
    </row>
    <row r="289" ht="15.75" customHeight="1">
      <c r="C289" s="103"/>
    </row>
    <row r="290" ht="15.75" customHeight="1">
      <c r="C290" s="103"/>
    </row>
    <row r="291" ht="15.75" customHeight="1">
      <c r="C291" s="103"/>
    </row>
    <row r="292" ht="15.75" customHeight="1">
      <c r="C292" s="103"/>
    </row>
    <row r="293" ht="15.75" customHeight="1">
      <c r="C293" s="103"/>
    </row>
    <row r="294" ht="15.75" customHeight="1">
      <c r="C294" s="103"/>
    </row>
    <row r="295" ht="15.75" customHeight="1">
      <c r="C295" s="103"/>
    </row>
    <row r="296" ht="15.75" customHeight="1">
      <c r="C296" s="103"/>
    </row>
    <row r="297" ht="15.75" customHeight="1">
      <c r="C297" s="103"/>
    </row>
    <row r="298" ht="15.75" customHeight="1">
      <c r="C298" s="103"/>
    </row>
    <row r="299" ht="15.75" customHeight="1">
      <c r="C299" s="103"/>
    </row>
    <row r="300" ht="15.75" customHeight="1">
      <c r="C300" s="103"/>
    </row>
    <row r="301" ht="15.75" customHeight="1">
      <c r="C301" s="103"/>
    </row>
    <row r="302" ht="15.75" customHeight="1">
      <c r="C302" s="103"/>
    </row>
    <row r="303" ht="15.75" customHeight="1">
      <c r="C303" s="103"/>
    </row>
    <row r="304" ht="15.75" customHeight="1">
      <c r="C304" s="103"/>
    </row>
    <row r="305" ht="15.75" customHeight="1">
      <c r="C305" s="103"/>
    </row>
    <row r="306" ht="15.75" customHeight="1">
      <c r="C306" s="103"/>
    </row>
    <row r="307" ht="15.75" customHeight="1">
      <c r="C307" s="103"/>
    </row>
    <row r="308" ht="15.75" customHeight="1">
      <c r="C308" s="103"/>
    </row>
    <row r="309" ht="15.75" customHeight="1">
      <c r="C309" s="103"/>
    </row>
    <row r="310" ht="15.75" customHeight="1">
      <c r="C310" s="103"/>
    </row>
    <row r="311" ht="15.75" customHeight="1">
      <c r="C311" s="103"/>
    </row>
    <row r="312" ht="15.75" customHeight="1">
      <c r="C312" s="103"/>
    </row>
    <row r="313" ht="15.75" customHeight="1">
      <c r="C313" s="103"/>
    </row>
    <row r="314" ht="15.75" customHeight="1">
      <c r="C314" s="103"/>
    </row>
    <row r="315" ht="15.75" customHeight="1">
      <c r="C315" s="103"/>
    </row>
    <row r="316" ht="15.75" customHeight="1">
      <c r="C316" s="103"/>
    </row>
    <row r="317" ht="15.75" customHeight="1">
      <c r="C317" s="103"/>
    </row>
    <row r="318" ht="15.75" customHeight="1">
      <c r="C318" s="103"/>
    </row>
    <row r="319" ht="15.75" customHeight="1">
      <c r="C319" s="103"/>
    </row>
    <row r="320" ht="15.75" customHeight="1">
      <c r="C320" s="103"/>
    </row>
    <row r="321" ht="15.75" customHeight="1">
      <c r="C321" s="103"/>
    </row>
    <row r="322" ht="15.75" customHeight="1">
      <c r="C322" s="103"/>
    </row>
    <row r="323" ht="15.75" customHeight="1">
      <c r="C323" s="103"/>
    </row>
    <row r="324" ht="15.75" customHeight="1">
      <c r="C324" s="103"/>
    </row>
    <row r="325" ht="15.75" customHeight="1">
      <c r="C325" s="103"/>
    </row>
    <row r="326" ht="15.75" customHeight="1">
      <c r="C326" s="103"/>
    </row>
    <row r="327" ht="15.75" customHeight="1">
      <c r="C327" s="103"/>
    </row>
    <row r="328" ht="15.75" customHeight="1">
      <c r="C328" s="103"/>
    </row>
    <row r="329" ht="15.75" customHeight="1">
      <c r="C329" s="103"/>
    </row>
    <row r="330" ht="15.75" customHeight="1">
      <c r="C330" s="103"/>
    </row>
    <row r="331" ht="15.75" customHeight="1">
      <c r="C331" s="103"/>
    </row>
    <row r="332" ht="15.75" customHeight="1">
      <c r="C332" s="103"/>
    </row>
    <row r="333" ht="15.75" customHeight="1">
      <c r="C333" s="103"/>
    </row>
    <row r="334" ht="15.75" customHeight="1">
      <c r="C334" s="103"/>
    </row>
    <row r="335" ht="15.75" customHeight="1">
      <c r="C335" s="103"/>
    </row>
    <row r="336" ht="15.75" customHeight="1">
      <c r="C336" s="103"/>
    </row>
    <row r="337" ht="15.75" customHeight="1">
      <c r="C337" s="103"/>
    </row>
    <row r="338" ht="15.75" customHeight="1">
      <c r="C338" s="103"/>
    </row>
    <row r="339" ht="15.75" customHeight="1">
      <c r="C339" s="103"/>
    </row>
    <row r="340" ht="15.75" customHeight="1">
      <c r="C340" s="103"/>
    </row>
    <row r="341" ht="15.75" customHeight="1">
      <c r="C341" s="103"/>
    </row>
    <row r="342" ht="15.75" customHeight="1">
      <c r="C342" s="103"/>
    </row>
    <row r="343" ht="15.75" customHeight="1">
      <c r="C343" s="103"/>
    </row>
    <row r="344" ht="15.75" customHeight="1">
      <c r="C344" s="103"/>
    </row>
    <row r="345" ht="15.75" customHeight="1">
      <c r="C345" s="103"/>
    </row>
    <row r="346" ht="15.75" customHeight="1">
      <c r="C346" s="103"/>
    </row>
    <row r="347" ht="15.75" customHeight="1">
      <c r="C347" s="103"/>
    </row>
    <row r="348" ht="15.75" customHeight="1">
      <c r="C348" s="103"/>
    </row>
    <row r="349" ht="15.75" customHeight="1">
      <c r="C349" s="103"/>
    </row>
    <row r="350" ht="15.75" customHeight="1">
      <c r="C350" s="103"/>
    </row>
    <row r="351" ht="15.75" customHeight="1">
      <c r="C351" s="103"/>
    </row>
    <row r="352" ht="15.75" customHeight="1">
      <c r="C352" s="103"/>
    </row>
    <row r="353" ht="15.75" customHeight="1">
      <c r="C353" s="103"/>
    </row>
    <row r="354" ht="15.75" customHeight="1">
      <c r="C354" s="103"/>
    </row>
    <row r="355" ht="15.75" customHeight="1">
      <c r="C355" s="103"/>
    </row>
    <row r="356" ht="15.75" customHeight="1">
      <c r="C356" s="103"/>
    </row>
    <row r="357" ht="15.75" customHeight="1">
      <c r="C357" s="103"/>
    </row>
    <row r="358" ht="15.75" customHeight="1">
      <c r="C358" s="103"/>
    </row>
    <row r="359" ht="15.75" customHeight="1">
      <c r="C359" s="103"/>
    </row>
    <row r="360" ht="15.75" customHeight="1">
      <c r="C360" s="103"/>
    </row>
    <row r="361" ht="15.75" customHeight="1">
      <c r="C361" s="103"/>
    </row>
    <row r="362" ht="15.75" customHeight="1">
      <c r="C362" s="103"/>
    </row>
    <row r="363" ht="15.75" customHeight="1">
      <c r="C363" s="103"/>
    </row>
    <row r="364" ht="15.75" customHeight="1">
      <c r="C364" s="103"/>
    </row>
    <row r="365" ht="15.75" customHeight="1">
      <c r="C365" s="103"/>
    </row>
    <row r="366" ht="15.75" customHeight="1">
      <c r="C366" s="103"/>
    </row>
    <row r="367" ht="15.75" customHeight="1">
      <c r="C367" s="103"/>
    </row>
    <row r="368" ht="15.75" customHeight="1">
      <c r="C368" s="103"/>
    </row>
    <row r="369" ht="15.75" customHeight="1">
      <c r="C369" s="103"/>
    </row>
    <row r="370" ht="15.75" customHeight="1">
      <c r="C370" s="103"/>
    </row>
    <row r="371" ht="15.75" customHeight="1">
      <c r="C371" s="103"/>
    </row>
    <row r="372" ht="15.75" customHeight="1">
      <c r="C372" s="103"/>
    </row>
    <row r="373" ht="15.75" customHeight="1">
      <c r="C373" s="103"/>
    </row>
    <row r="374" ht="15.75" customHeight="1">
      <c r="C374" s="103"/>
    </row>
    <row r="375" ht="15.75" customHeight="1">
      <c r="C375" s="103"/>
    </row>
    <row r="376" ht="15.75" customHeight="1">
      <c r="C376" s="103"/>
    </row>
    <row r="377" ht="15.75" customHeight="1">
      <c r="C377" s="103"/>
    </row>
    <row r="378" ht="15.75" customHeight="1">
      <c r="C378" s="103"/>
    </row>
    <row r="379" ht="15.75" customHeight="1">
      <c r="C379" s="103"/>
    </row>
    <row r="380" ht="15.75" customHeight="1">
      <c r="C380" s="103"/>
    </row>
    <row r="381" ht="15.75" customHeight="1">
      <c r="C381" s="103"/>
    </row>
    <row r="382" ht="15.75" customHeight="1">
      <c r="C382" s="103"/>
    </row>
    <row r="383" ht="15.75" customHeight="1">
      <c r="C383" s="103"/>
    </row>
    <row r="384" ht="15.75" customHeight="1">
      <c r="C384" s="103"/>
    </row>
    <row r="385" ht="15.75" customHeight="1">
      <c r="C385" s="103"/>
    </row>
    <row r="386" ht="15.75" customHeight="1">
      <c r="C386" s="103"/>
    </row>
    <row r="387" ht="15.75" customHeight="1">
      <c r="C387" s="103"/>
    </row>
    <row r="388" ht="15.75" customHeight="1">
      <c r="C388" s="103"/>
    </row>
    <row r="389" ht="15.75" customHeight="1">
      <c r="C389" s="103"/>
    </row>
    <row r="390" ht="15.75" customHeight="1">
      <c r="C390" s="103"/>
    </row>
    <row r="391" ht="15.75" customHeight="1">
      <c r="C391" s="103"/>
    </row>
    <row r="392" ht="15.75" customHeight="1">
      <c r="C392" s="103"/>
    </row>
    <row r="393" ht="15.75" customHeight="1">
      <c r="C393" s="103"/>
    </row>
    <row r="394" ht="15.75" customHeight="1">
      <c r="C394" s="103"/>
    </row>
    <row r="395" ht="15.75" customHeight="1">
      <c r="C395" s="103"/>
    </row>
    <row r="396" ht="15.75" customHeight="1">
      <c r="C396" s="103"/>
    </row>
    <row r="397" ht="15.75" customHeight="1">
      <c r="C397" s="103"/>
    </row>
    <row r="398" ht="15.75" customHeight="1">
      <c r="C398" s="103"/>
    </row>
    <row r="399" ht="15.75" customHeight="1">
      <c r="C399" s="103"/>
    </row>
    <row r="400" ht="15.75" customHeight="1">
      <c r="C400" s="103"/>
    </row>
    <row r="401" ht="15.75" customHeight="1">
      <c r="C401" s="103"/>
    </row>
    <row r="402" ht="15.75" customHeight="1">
      <c r="C402" s="103"/>
    </row>
    <row r="403" ht="15.75" customHeight="1">
      <c r="C403" s="103"/>
    </row>
    <row r="404" ht="15.75" customHeight="1">
      <c r="C404" s="103"/>
    </row>
    <row r="405" ht="15.75" customHeight="1">
      <c r="C405" s="103"/>
    </row>
    <row r="406" ht="15.75" customHeight="1">
      <c r="C406" s="103"/>
    </row>
    <row r="407" ht="15.75" customHeight="1">
      <c r="C407" s="103"/>
    </row>
    <row r="408" ht="15.75" customHeight="1">
      <c r="C408" s="103"/>
    </row>
    <row r="409" ht="15.75" customHeight="1">
      <c r="C409" s="103"/>
    </row>
    <row r="410" ht="15.75" customHeight="1">
      <c r="C410" s="103"/>
    </row>
    <row r="411" ht="15.75" customHeight="1">
      <c r="C411" s="103"/>
    </row>
    <row r="412" ht="15.75" customHeight="1">
      <c r="C412" s="103"/>
    </row>
    <row r="413" ht="15.75" customHeight="1">
      <c r="C413" s="103"/>
    </row>
    <row r="414" ht="15.75" customHeight="1">
      <c r="C414" s="103"/>
    </row>
    <row r="415" ht="15.75" customHeight="1">
      <c r="C415" s="103"/>
    </row>
    <row r="416" ht="15.75" customHeight="1">
      <c r="C416" s="103"/>
    </row>
    <row r="417" ht="15.75" customHeight="1">
      <c r="C417" s="103"/>
    </row>
    <row r="418" ht="15.75" customHeight="1">
      <c r="C418" s="103"/>
    </row>
    <row r="419" ht="15.75" customHeight="1">
      <c r="C419" s="103"/>
    </row>
    <row r="420" ht="15.75" customHeight="1">
      <c r="C420" s="103"/>
    </row>
    <row r="421" ht="15.75" customHeight="1">
      <c r="C421" s="103"/>
    </row>
    <row r="422" ht="15.75" customHeight="1">
      <c r="C422" s="103"/>
    </row>
    <row r="423" ht="15.75" customHeight="1">
      <c r="C423" s="103"/>
    </row>
    <row r="424" ht="15.75" customHeight="1">
      <c r="C424" s="103"/>
    </row>
    <row r="425" ht="15.75" customHeight="1">
      <c r="C425" s="103"/>
    </row>
    <row r="426" ht="15.75" customHeight="1">
      <c r="C426" s="103"/>
    </row>
    <row r="427" ht="15.75" customHeight="1">
      <c r="C427" s="103"/>
    </row>
    <row r="428" ht="15.75" customHeight="1">
      <c r="C428" s="103"/>
    </row>
    <row r="429" ht="15.75" customHeight="1">
      <c r="C429" s="103"/>
    </row>
    <row r="430" ht="15.75" customHeight="1">
      <c r="C430" s="103"/>
    </row>
    <row r="431" ht="15.75" customHeight="1">
      <c r="C431" s="103"/>
    </row>
    <row r="432" ht="15.75" customHeight="1">
      <c r="C432" s="103"/>
    </row>
    <row r="433" ht="15.75" customHeight="1">
      <c r="C433" s="103"/>
    </row>
    <row r="434" ht="15.75" customHeight="1">
      <c r="C434" s="103"/>
    </row>
    <row r="435" ht="15.75" customHeight="1">
      <c r="C435" s="103"/>
    </row>
    <row r="436" ht="15.75" customHeight="1">
      <c r="C436" s="103"/>
    </row>
    <row r="437" ht="15.75" customHeight="1">
      <c r="C437" s="103"/>
    </row>
    <row r="438" ht="15.75" customHeight="1">
      <c r="C438" s="103"/>
    </row>
    <row r="439" ht="15.75" customHeight="1">
      <c r="C439" s="103"/>
    </row>
    <row r="440" ht="15.75" customHeight="1">
      <c r="C440" s="103"/>
    </row>
    <row r="441" ht="15.75" customHeight="1">
      <c r="C441" s="103"/>
    </row>
    <row r="442" ht="15.75" customHeight="1">
      <c r="C442" s="103"/>
    </row>
    <row r="443" ht="15.75" customHeight="1">
      <c r="C443" s="103"/>
    </row>
    <row r="444" ht="15.75" customHeight="1">
      <c r="C444" s="103"/>
    </row>
    <row r="445" ht="15.75" customHeight="1">
      <c r="C445" s="103"/>
    </row>
    <row r="446" ht="15.75" customHeight="1">
      <c r="C446" s="103"/>
    </row>
    <row r="447" ht="15.75" customHeight="1">
      <c r="C447" s="103"/>
    </row>
    <row r="448" ht="15.75" customHeight="1">
      <c r="C448" s="103"/>
    </row>
    <row r="449" ht="15.75" customHeight="1">
      <c r="C449" s="103"/>
    </row>
    <row r="450" ht="15.75" customHeight="1">
      <c r="C450" s="103"/>
    </row>
    <row r="451" ht="15.75" customHeight="1">
      <c r="C451" s="103"/>
    </row>
    <row r="452" ht="15.75" customHeight="1">
      <c r="C452" s="103"/>
    </row>
    <row r="453" ht="15.75" customHeight="1">
      <c r="C453" s="103"/>
    </row>
    <row r="454" ht="15.75" customHeight="1">
      <c r="C454" s="103"/>
    </row>
    <row r="455" ht="15.75" customHeight="1">
      <c r="C455" s="103"/>
    </row>
    <row r="456" ht="15.75" customHeight="1">
      <c r="C456" s="103"/>
    </row>
    <row r="457" ht="15.75" customHeight="1">
      <c r="C457" s="103"/>
    </row>
    <row r="458" ht="15.75" customHeight="1">
      <c r="C458" s="103"/>
    </row>
    <row r="459" ht="15.75" customHeight="1">
      <c r="C459" s="103"/>
    </row>
    <row r="460" ht="15.75" customHeight="1">
      <c r="C460" s="103"/>
    </row>
    <row r="461" ht="15.75" customHeight="1">
      <c r="C461" s="103"/>
    </row>
    <row r="462" ht="15.75" customHeight="1">
      <c r="C462" s="103"/>
    </row>
    <row r="463" ht="15.75" customHeight="1">
      <c r="C463" s="103"/>
    </row>
    <row r="464" ht="15.75" customHeight="1">
      <c r="C464" s="103"/>
    </row>
    <row r="465" ht="15.75" customHeight="1">
      <c r="C465" s="103"/>
    </row>
    <row r="466" ht="15.75" customHeight="1">
      <c r="C466" s="103"/>
    </row>
    <row r="467" ht="15.75" customHeight="1">
      <c r="C467" s="103"/>
    </row>
    <row r="468" ht="15.75" customHeight="1">
      <c r="C468" s="103"/>
    </row>
    <row r="469" ht="15.75" customHeight="1">
      <c r="C469" s="103"/>
    </row>
    <row r="470" ht="15.75" customHeight="1">
      <c r="C470" s="103"/>
    </row>
    <row r="471" ht="15.75" customHeight="1">
      <c r="C471" s="103"/>
    </row>
    <row r="472" ht="15.75" customHeight="1">
      <c r="C472" s="103"/>
    </row>
    <row r="473" ht="15.75" customHeight="1">
      <c r="C473" s="103"/>
    </row>
    <row r="474" ht="15.75" customHeight="1">
      <c r="C474" s="103"/>
    </row>
    <row r="475" ht="15.75" customHeight="1">
      <c r="C475" s="103"/>
    </row>
    <row r="476" ht="15.75" customHeight="1">
      <c r="C476" s="103"/>
    </row>
    <row r="477" ht="15.75" customHeight="1">
      <c r="C477" s="103"/>
    </row>
    <row r="478" ht="15.75" customHeight="1">
      <c r="C478" s="103"/>
    </row>
    <row r="479" ht="15.75" customHeight="1">
      <c r="C479" s="103"/>
    </row>
    <row r="480" ht="15.75" customHeight="1">
      <c r="C480" s="103"/>
    </row>
    <row r="481" ht="15.75" customHeight="1">
      <c r="C481" s="103"/>
    </row>
    <row r="482" ht="15.75" customHeight="1">
      <c r="C482" s="103"/>
    </row>
    <row r="483" ht="15.75" customHeight="1">
      <c r="C483" s="103"/>
    </row>
    <row r="484" ht="15.75" customHeight="1">
      <c r="C484" s="103"/>
    </row>
    <row r="485" ht="15.75" customHeight="1">
      <c r="C485" s="103"/>
    </row>
    <row r="486" ht="15.75" customHeight="1">
      <c r="C486" s="103"/>
    </row>
    <row r="487" ht="15.75" customHeight="1">
      <c r="C487" s="103"/>
    </row>
    <row r="488" ht="15.75" customHeight="1">
      <c r="C488" s="103"/>
    </row>
    <row r="489" ht="15.75" customHeight="1">
      <c r="C489" s="103"/>
    </row>
    <row r="490" ht="15.75" customHeight="1">
      <c r="C490" s="103"/>
    </row>
    <row r="491" ht="15.75" customHeight="1">
      <c r="C491" s="103"/>
    </row>
    <row r="492" ht="15.75" customHeight="1">
      <c r="C492" s="103"/>
    </row>
    <row r="493" ht="15.75" customHeight="1">
      <c r="C493" s="103"/>
    </row>
    <row r="494" ht="15.75" customHeight="1">
      <c r="C494" s="103"/>
    </row>
    <row r="495" ht="15.75" customHeight="1">
      <c r="C495" s="103"/>
    </row>
    <row r="496" ht="15.75" customHeight="1">
      <c r="C496" s="103"/>
    </row>
    <row r="497" ht="15.75" customHeight="1">
      <c r="C497" s="103"/>
    </row>
    <row r="498" ht="15.75" customHeight="1">
      <c r="C498" s="103"/>
    </row>
    <row r="499" ht="15.75" customHeight="1">
      <c r="C499" s="103"/>
    </row>
    <row r="500" ht="15.75" customHeight="1">
      <c r="C500" s="103"/>
    </row>
    <row r="501" ht="15.75" customHeight="1">
      <c r="C501" s="103"/>
    </row>
    <row r="502" ht="15.75" customHeight="1">
      <c r="C502" s="103"/>
    </row>
    <row r="503" ht="15.75" customHeight="1">
      <c r="C503" s="103"/>
    </row>
    <row r="504" ht="15.75" customHeight="1">
      <c r="C504" s="103"/>
    </row>
    <row r="505" ht="15.75" customHeight="1">
      <c r="C505" s="103"/>
    </row>
    <row r="506" ht="15.75" customHeight="1">
      <c r="C506" s="103"/>
    </row>
    <row r="507" ht="15.75" customHeight="1">
      <c r="C507" s="103"/>
    </row>
    <row r="508" ht="15.75" customHeight="1">
      <c r="C508" s="103"/>
    </row>
    <row r="509" ht="15.75" customHeight="1">
      <c r="C509" s="103"/>
    </row>
    <row r="510" ht="15.75" customHeight="1">
      <c r="C510" s="103"/>
    </row>
    <row r="511" ht="15.75" customHeight="1">
      <c r="C511" s="103"/>
    </row>
    <row r="512" ht="15.75" customHeight="1">
      <c r="C512" s="103"/>
    </row>
    <row r="513" ht="15.75" customHeight="1">
      <c r="C513" s="103"/>
    </row>
    <row r="514" ht="15.75" customHeight="1">
      <c r="C514" s="103"/>
    </row>
    <row r="515" ht="15.75" customHeight="1">
      <c r="C515" s="103"/>
    </row>
    <row r="516" ht="15.75" customHeight="1">
      <c r="C516" s="103"/>
    </row>
    <row r="517" ht="15.75" customHeight="1">
      <c r="C517" s="103"/>
    </row>
    <row r="518" ht="15.75" customHeight="1">
      <c r="C518" s="103"/>
    </row>
    <row r="519" ht="15.75" customHeight="1">
      <c r="C519" s="103"/>
    </row>
    <row r="520" ht="15.75" customHeight="1">
      <c r="C520" s="103"/>
    </row>
    <row r="521" ht="15.75" customHeight="1">
      <c r="C521" s="103"/>
    </row>
    <row r="522" ht="15.75" customHeight="1">
      <c r="C522" s="103"/>
    </row>
    <row r="523" ht="15.75" customHeight="1">
      <c r="C523" s="103"/>
    </row>
    <row r="524" ht="15.75" customHeight="1">
      <c r="C524" s="103"/>
    </row>
    <row r="525" ht="15.75" customHeight="1">
      <c r="C525" s="103"/>
    </row>
    <row r="526" ht="15.75" customHeight="1">
      <c r="C526" s="103"/>
    </row>
    <row r="527" ht="15.75" customHeight="1">
      <c r="C527" s="103"/>
    </row>
    <row r="528" ht="15.75" customHeight="1">
      <c r="C528" s="103"/>
    </row>
    <row r="529" ht="15.75" customHeight="1">
      <c r="C529" s="103"/>
    </row>
    <row r="530" ht="15.75" customHeight="1">
      <c r="C530" s="103"/>
    </row>
    <row r="531" ht="15.75" customHeight="1">
      <c r="C531" s="103"/>
    </row>
    <row r="532" ht="15.75" customHeight="1">
      <c r="C532" s="103"/>
    </row>
    <row r="533" ht="15.75" customHeight="1">
      <c r="C533" s="103"/>
    </row>
    <row r="534" ht="15.75" customHeight="1">
      <c r="C534" s="103"/>
    </row>
    <row r="535" ht="15.75" customHeight="1">
      <c r="C535" s="103"/>
    </row>
    <row r="536" ht="15.75" customHeight="1">
      <c r="C536" s="103"/>
    </row>
    <row r="537" ht="15.75" customHeight="1">
      <c r="C537" s="103"/>
    </row>
    <row r="538" ht="15.75" customHeight="1">
      <c r="C538" s="103"/>
    </row>
    <row r="539" ht="15.75" customHeight="1">
      <c r="C539" s="103"/>
    </row>
    <row r="540" ht="15.75" customHeight="1">
      <c r="C540" s="103"/>
    </row>
    <row r="541" ht="15.75" customHeight="1">
      <c r="C541" s="103"/>
    </row>
    <row r="542" ht="15.75" customHeight="1">
      <c r="C542" s="103"/>
    </row>
    <row r="543" ht="15.75" customHeight="1">
      <c r="C543" s="103"/>
    </row>
    <row r="544" ht="15.75" customHeight="1">
      <c r="C544" s="103"/>
    </row>
    <row r="545" ht="15.75" customHeight="1">
      <c r="C545" s="103"/>
    </row>
    <row r="546" ht="15.75" customHeight="1">
      <c r="C546" s="103"/>
    </row>
    <row r="547" ht="15.75" customHeight="1">
      <c r="C547" s="103"/>
    </row>
    <row r="548" ht="15.75" customHeight="1">
      <c r="C548" s="103"/>
    </row>
    <row r="549" ht="15.75" customHeight="1">
      <c r="C549" s="103"/>
    </row>
    <row r="550" ht="15.75" customHeight="1">
      <c r="C550" s="103"/>
    </row>
    <row r="551" ht="15.75" customHeight="1">
      <c r="C551" s="103"/>
    </row>
    <row r="552" ht="15.75" customHeight="1">
      <c r="C552" s="103"/>
    </row>
    <row r="553" ht="15.75" customHeight="1">
      <c r="C553" s="103"/>
    </row>
    <row r="554" ht="15.75" customHeight="1">
      <c r="C554" s="103"/>
    </row>
    <row r="555" ht="15.75" customHeight="1">
      <c r="C555" s="103"/>
    </row>
    <row r="556" ht="15.75" customHeight="1">
      <c r="C556" s="103"/>
    </row>
    <row r="557" ht="15.75" customHeight="1">
      <c r="C557" s="103"/>
    </row>
    <row r="558" ht="15.75" customHeight="1">
      <c r="C558" s="103"/>
    </row>
    <row r="559" ht="15.75" customHeight="1">
      <c r="C559" s="103"/>
    </row>
    <row r="560" ht="15.75" customHeight="1">
      <c r="C560" s="103"/>
    </row>
    <row r="561" ht="15.75" customHeight="1">
      <c r="C561" s="103"/>
    </row>
    <row r="562" ht="15.75" customHeight="1">
      <c r="C562" s="103"/>
    </row>
    <row r="563" ht="15.75" customHeight="1">
      <c r="C563" s="103"/>
    </row>
    <row r="564" ht="15.75" customHeight="1">
      <c r="C564" s="103"/>
    </row>
    <row r="565" ht="15.75" customHeight="1">
      <c r="C565" s="103"/>
    </row>
    <row r="566" ht="15.75" customHeight="1">
      <c r="C566" s="103"/>
    </row>
    <row r="567" ht="15.75" customHeight="1">
      <c r="C567" s="103"/>
    </row>
    <row r="568" ht="15.75" customHeight="1">
      <c r="C568" s="103"/>
    </row>
    <row r="569" ht="15.75" customHeight="1">
      <c r="C569" s="103"/>
    </row>
    <row r="570" ht="15.75" customHeight="1">
      <c r="C570" s="103"/>
    </row>
    <row r="571" ht="15.75" customHeight="1">
      <c r="C571" s="103"/>
    </row>
    <row r="572" ht="15.75" customHeight="1">
      <c r="C572" s="103"/>
    </row>
    <row r="573" ht="15.75" customHeight="1">
      <c r="C573" s="103"/>
    </row>
    <row r="574" ht="15.75" customHeight="1">
      <c r="C574" s="103"/>
    </row>
    <row r="575" ht="15.75" customHeight="1">
      <c r="C575" s="103"/>
    </row>
    <row r="576" ht="15.75" customHeight="1">
      <c r="C576" s="103"/>
    </row>
    <row r="577" ht="15.75" customHeight="1">
      <c r="C577" s="103"/>
    </row>
    <row r="578" ht="15.75" customHeight="1">
      <c r="C578" s="103"/>
    </row>
    <row r="579" ht="15.75" customHeight="1">
      <c r="C579" s="103"/>
    </row>
    <row r="580" ht="15.75" customHeight="1">
      <c r="C580" s="103"/>
    </row>
    <row r="581" ht="15.75" customHeight="1">
      <c r="C581" s="103"/>
    </row>
    <row r="582" ht="15.75" customHeight="1">
      <c r="C582" s="103"/>
    </row>
    <row r="583" ht="15.75" customHeight="1">
      <c r="C583" s="103"/>
    </row>
    <row r="584" ht="15.75" customHeight="1">
      <c r="C584" s="103"/>
    </row>
    <row r="585" ht="15.75" customHeight="1">
      <c r="C585" s="103"/>
    </row>
    <row r="586" ht="15.75" customHeight="1">
      <c r="C586" s="103"/>
    </row>
    <row r="587" ht="15.75" customHeight="1">
      <c r="C587" s="103"/>
    </row>
    <row r="588" ht="15.75" customHeight="1">
      <c r="C588" s="103"/>
    </row>
    <row r="589" ht="15.75" customHeight="1">
      <c r="C589" s="103"/>
    </row>
    <row r="590" ht="15.75" customHeight="1">
      <c r="C590" s="103"/>
    </row>
    <row r="591" ht="15.75" customHeight="1">
      <c r="C591" s="103"/>
    </row>
    <row r="592" ht="15.75" customHeight="1">
      <c r="C592" s="103"/>
    </row>
    <row r="593" ht="15.75" customHeight="1">
      <c r="C593" s="103"/>
    </row>
    <row r="594" ht="15.75" customHeight="1">
      <c r="C594" s="103"/>
    </row>
    <row r="595" ht="15.75" customHeight="1">
      <c r="C595" s="103"/>
    </row>
    <row r="596" ht="15.75" customHeight="1">
      <c r="C596" s="103"/>
    </row>
    <row r="597" ht="15.75" customHeight="1">
      <c r="C597" s="103"/>
    </row>
    <row r="598" ht="15.75" customHeight="1">
      <c r="C598" s="103"/>
    </row>
    <row r="599" ht="15.75" customHeight="1">
      <c r="C599" s="103"/>
    </row>
    <row r="600" ht="15.75" customHeight="1">
      <c r="C600" s="103"/>
    </row>
    <row r="601" ht="15.75" customHeight="1">
      <c r="C601" s="103"/>
    </row>
    <row r="602" ht="15.75" customHeight="1">
      <c r="C602" s="103"/>
    </row>
    <row r="603" ht="15.75" customHeight="1">
      <c r="C603" s="103"/>
    </row>
    <row r="604" ht="15.75" customHeight="1">
      <c r="C604" s="103"/>
    </row>
    <row r="605" ht="15.75" customHeight="1">
      <c r="C605" s="103"/>
    </row>
    <row r="606" ht="15.75" customHeight="1">
      <c r="C606" s="103"/>
    </row>
    <row r="607" ht="15.75" customHeight="1">
      <c r="C607" s="103"/>
    </row>
    <row r="608" ht="15.75" customHeight="1">
      <c r="C608" s="103"/>
    </row>
    <row r="609" ht="15.75" customHeight="1">
      <c r="C609" s="103"/>
    </row>
    <row r="610" ht="15.75" customHeight="1">
      <c r="C610" s="103"/>
    </row>
    <row r="611" ht="15.75" customHeight="1">
      <c r="C611" s="103"/>
    </row>
    <row r="612" ht="15.75" customHeight="1">
      <c r="C612" s="103"/>
    </row>
    <row r="613" ht="15.75" customHeight="1">
      <c r="C613" s="103"/>
    </row>
    <row r="614" ht="15.75" customHeight="1">
      <c r="C614" s="103"/>
    </row>
    <row r="615" ht="15.75" customHeight="1">
      <c r="C615" s="103"/>
    </row>
    <row r="616" ht="15.75" customHeight="1">
      <c r="C616" s="103"/>
    </row>
    <row r="617" ht="15.75" customHeight="1">
      <c r="C617" s="103"/>
    </row>
    <row r="618" ht="15.75" customHeight="1">
      <c r="C618" s="103"/>
    </row>
    <row r="619" ht="15.75" customHeight="1">
      <c r="C619" s="103"/>
    </row>
    <row r="620" ht="15.75" customHeight="1">
      <c r="C620" s="103"/>
    </row>
    <row r="621" ht="15.75" customHeight="1">
      <c r="C621" s="103"/>
    </row>
    <row r="622" ht="15.75" customHeight="1">
      <c r="C622" s="103"/>
    </row>
    <row r="623" ht="15.75" customHeight="1">
      <c r="C623" s="103"/>
    </row>
    <row r="624" ht="15.75" customHeight="1">
      <c r="C624" s="103"/>
    </row>
    <row r="625" ht="15.75" customHeight="1">
      <c r="C625" s="103"/>
    </row>
    <row r="626" ht="15.75" customHeight="1">
      <c r="C626" s="103"/>
    </row>
    <row r="627" ht="15.75" customHeight="1">
      <c r="C627" s="103"/>
    </row>
    <row r="628" ht="15.75" customHeight="1">
      <c r="C628" s="103"/>
    </row>
    <row r="629" ht="15.75" customHeight="1">
      <c r="C629" s="103"/>
    </row>
    <row r="630" ht="15.75" customHeight="1">
      <c r="C630" s="103"/>
    </row>
    <row r="631" ht="15.75" customHeight="1">
      <c r="C631" s="103"/>
    </row>
    <row r="632" ht="15.75" customHeight="1">
      <c r="C632" s="103"/>
    </row>
    <row r="633" ht="15.75" customHeight="1">
      <c r="C633" s="103"/>
    </row>
    <row r="634" ht="15.75" customHeight="1">
      <c r="C634" s="103"/>
    </row>
    <row r="635" ht="15.75" customHeight="1">
      <c r="C635" s="103"/>
    </row>
    <row r="636" ht="15.75" customHeight="1">
      <c r="C636" s="103"/>
    </row>
    <row r="637" ht="15.75" customHeight="1">
      <c r="C637" s="103"/>
    </row>
    <row r="638" ht="15.75" customHeight="1">
      <c r="C638" s="103"/>
    </row>
    <row r="639" ht="15.75" customHeight="1">
      <c r="C639" s="103"/>
    </row>
    <row r="640" ht="15.75" customHeight="1">
      <c r="C640" s="103"/>
    </row>
    <row r="641" ht="15.75" customHeight="1">
      <c r="C641" s="103"/>
    </row>
    <row r="642" ht="15.75" customHeight="1">
      <c r="C642" s="103"/>
    </row>
    <row r="643" ht="15.75" customHeight="1">
      <c r="C643" s="103"/>
    </row>
    <row r="644" ht="15.75" customHeight="1">
      <c r="C644" s="103"/>
    </row>
    <row r="645" ht="15.75" customHeight="1">
      <c r="C645" s="103"/>
    </row>
    <row r="646" ht="15.75" customHeight="1">
      <c r="C646" s="103"/>
    </row>
    <row r="647" ht="15.75" customHeight="1">
      <c r="C647" s="103"/>
    </row>
    <row r="648" ht="15.75" customHeight="1">
      <c r="C648" s="103"/>
    </row>
    <row r="649" ht="15.75" customHeight="1">
      <c r="C649" s="103"/>
    </row>
    <row r="650" ht="15.75" customHeight="1">
      <c r="C650" s="103"/>
    </row>
    <row r="651" ht="15.75" customHeight="1">
      <c r="C651" s="103"/>
    </row>
    <row r="652" ht="15.75" customHeight="1">
      <c r="C652" s="103"/>
    </row>
    <row r="653" ht="15.75" customHeight="1">
      <c r="C653" s="103"/>
    </row>
    <row r="654" ht="15.75" customHeight="1">
      <c r="C654" s="103"/>
    </row>
    <row r="655" ht="15.75" customHeight="1">
      <c r="C655" s="103"/>
    </row>
    <row r="656" ht="15.75" customHeight="1">
      <c r="C656" s="103"/>
    </row>
    <row r="657" ht="15.75" customHeight="1">
      <c r="C657" s="103"/>
    </row>
    <row r="658" ht="15.75" customHeight="1">
      <c r="C658" s="103"/>
    </row>
    <row r="659" ht="15.75" customHeight="1">
      <c r="C659" s="103"/>
    </row>
    <row r="660" ht="15.75" customHeight="1">
      <c r="C660" s="103"/>
    </row>
    <row r="661" ht="15.75" customHeight="1">
      <c r="C661" s="103"/>
    </row>
    <row r="662" ht="15.75" customHeight="1">
      <c r="C662" s="103"/>
    </row>
    <row r="663" ht="15.75" customHeight="1">
      <c r="C663" s="103"/>
    </row>
    <row r="664" ht="15.75" customHeight="1">
      <c r="C664" s="103"/>
    </row>
    <row r="665" ht="15.75" customHeight="1">
      <c r="C665" s="103"/>
    </row>
    <row r="666" ht="15.75" customHeight="1">
      <c r="C666" s="103"/>
    </row>
    <row r="667" ht="15.75" customHeight="1">
      <c r="C667" s="103"/>
    </row>
    <row r="668" ht="15.75" customHeight="1">
      <c r="C668" s="103"/>
    </row>
    <row r="669" ht="15.75" customHeight="1">
      <c r="C669" s="103"/>
    </row>
    <row r="670" ht="15.75" customHeight="1">
      <c r="C670" s="103"/>
    </row>
    <row r="671" ht="15.75" customHeight="1">
      <c r="C671" s="103"/>
    </row>
    <row r="672" ht="15.75" customHeight="1">
      <c r="C672" s="103"/>
    </row>
    <row r="673" ht="15.75" customHeight="1">
      <c r="C673" s="103"/>
    </row>
    <row r="674" ht="15.75" customHeight="1">
      <c r="C674" s="103"/>
    </row>
    <row r="675" ht="15.75" customHeight="1">
      <c r="C675" s="103"/>
    </row>
    <row r="676" ht="15.75" customHeight="1">
      <c r="C676" s="103"/>
    </row>
    <row r="677" ht="15.75" customHeight="1">
      <c r="C677" s="103"/>
    </row>
    <row r="678" ht="15.75" customHeight="1">
      <c r="C678" s="103"/>
    </row>
    <row r="679" ht="15.75" customHeight="1">
      <c r="C679" s="103"/>
    </row>
    <row r="680" ht="15.75" customHeight="1">
      <c r="C680" s="103"/>
    </row>
    <row r="681" ht="15.75" customHeight="1">
      <c r="C681" s="103"/>
    </row>
    <row r="682" ht="15.75" customHeight="1">
      <c r="C682" s="103"/>
    </row>
    <row r="683" ht="15.75" customHeight="1">
      <c r="C683" s="103"/>
    </row>
    <row r="684" ht="15.75" customHeight="1">
      <c r="C684" s="103"/>
    </row>
    <row r="685" ht="15.75" customHeight="1">
      <c r="C685" s="103"/>
    </row>
    <row r="686" ht="15.75" customHeight="1">
      <c r="C686" s="103"/>
    </row>
    <row r="687" ht="15.75" customHeight="1">
      <c r="C687" s="103"/>
    </row>
    <row r="688" ht="15.75" customHeight="1">
      <c r="C688" s="103"/>
    </row>
    <row r="689" ht="15.75" customHeight="1">
      <c r="C689" s="103"/>
    </row>
    <row r="690" ht="15.75" customHeight="1">
      <c r="C690" s="103"/>
    </row>
    <row r="691" ht="15.75" customHeight="1">
      <c r="C691" s="103"/>
    </row>
    <row r="692" ht="15.75" customHeight="1">
      <c r="C692" s="103"/>
    </row>
    <row r="693" ht="15.75" customHeight="1">
      <c r="C693" s="103"/>
    </row>
    <row r="694" ht="15.75" customHeight="1">
      <c r="C694" s="103"/>
    </row>
    <row r="695" ht="15.75" customHeight="1">
      <c r="C695" s="103"/>
    </row>
    <row r="696" ht="15.75" customHeight="1">
      <c r="C696" s="103"/>
    </row>
    <row r="697" ht="15.75" customHeight="1">
      <c r="C697" s="103"/>
    </row>
    <row r="698" ht="15.75" customHeight="1">
      <c r="C698" s="103"/>
    </row>
    <row r="699" ht="15.75" customHeight="1">
      <c r="C699" s="103"/>
    </row>
    <row r="700" ht="15.75" customHeight="1">
      <c r="C700" s="103"/>
    </row>
    <row r="701" ht="15.75" customHeight="1">
      <c r="C701" s="103"/>
    </row>
    <row r="702" ht="15.75" customHeight="1">
      <c r="C702" s="103"/>
    </row>
    <row r="703" ht="15.75" customHeight="1">
      <c r="C703" s="103"/>
    </row>
    <row r="704" ht="15.75" customHeight="1">
      <c r="C704" s="103"/>
    </row>
    <row r="705" ht="15.75" customHeight="1">
      <c r="C705" s="103"/>
    </row>
    <row r="706" ht="15.75" customHeight="1">
      <c r="C706" s="103"/>
    </row>
    <row r="707" ht="15.75" customHeight="1">
      <c r="C707" s="103"/>
    </row>
    <row r="708" ht="15.75" customHeight="1">
      <c r="C708" s="103"/>
    </row>
    <row r="709" ht="15.75" customHeight="1">
      <c r="C709" s="103"/>
    </row>
    <row r="710" ht="15.75" customHeight="1">
      <c r="C710" s="103"/>
    </row>
    <row r="711" ht="15.75" customHeight="1">
      <c r="C711" s="103"/>
    </row>
    <row r="712" ht="15.75" customHeight="1">
      <c r="C712" s="103"/>
    </row>
    <row r="713" ht="15.75" customHeight="1">
      <c r="C713" s="103"/>
    </row>
    <row r="714" ht="15.75" customHeight="1">
      <c r="C714" s="103"/>
    </row>
    <row r="715" ht="15.75" customHeight="1">
      <c r="C715" s="103"/>
    </row>
    <row r="716" ht="15.75" customHeight="1">
      <c r="C716" s="103"/>
    </row>
    <row r="717" ht="15.75" customHeight="1">
      <c r="C717" s="103"/>
    </row>
    <row r="718" ht="15.75" customHeight="1">
      <c r="C718" s="103"/>
    </row>
    <row r="719" ht="15.75" customHeight="1">
      <c r="C719" s="103"/>
    </row>
    <row r="720" ht="15.75" customHeight="1">
      <c r="C720" s="103"/>
    </row>
    <row r="721" ht="15.75" customHeight="1">
      <c r="C721" s="103"/>
    </row>
    <row r="722" ht="15.75" customHeight="1">
      <c r="C722" s="103"/>
    </row>
    <row r="723" ht="15.75" customHeight="1">
      <c r="C723" s="103"/>
    </row>
    <row r="724" ht="15.75" customHeight="1">
      <c r="C724" s="103"/>
    </row>
    <row r="725" ht="15.75" customHeight="1">
      <c r="C725" s="103"/>
    </row>
    <row r="726" ht="15.75" customHeight="1">
      <c r="C726" s="103"/>
    </row>
    <row r="727" ht="15.75" customHeight="1">
      <c r="C727" s="103"/>
    </row>
    <row r="728" ht="15.75" customHeight="1">
      <c r="C728" s="103"/>
    </row>
    <row r="729" ht="15.75" customHeight="1">
      <c r="C729" s="103"/>
    </row>
    <row r="730" ht="15.75" customHeight="1">
      <c r="C730" s="103"/>
    </row>
    <row r="731" ht="15.75" customHeight="1">
      <c r="C731" s="103"/>
    </row>
    <row r="732" ht="15.75" customHeight="1">
      <c r="C732" s="103"/>
    </row>
    <row r="733" ht="15.75" customHeight="1">
      <c r="C733" s="103"/>
    </row>
    <row r="734" ht="15.75" customHeight="1">
      <c r="C734" s="103"/>
    </row>
    <row r="735" ht="15.75" customHeight="1">
      <c r="C735" s="103"/>
    </row>
    <row r="736" ht="15.75" customHeight="1">
      <c r="C736" s="103"/>
    </row>
    <row r="737" ht="15.75" customHeight="1">
      <c r="C737" s="103"/>
    </row>
    <row r="738" ht="15.75" customHeight="1">
      <c r="C738" s="103"/>
    </row>
    <row r="739" ht="15.75" customHeight="1">
      <c r="C739" s="103"/>
    </row>
    <row r="740" ht="15.75" customHeight="1">
      <c r="C740" s="103"/>
    </row>
    <row r="741" ht="15.75" customHeight="1">
      <c r="C741" s="103"/>
    </row>
    <row r="742" ht="15.75" customHeight="1">
      <c r="C742" s="103"/>
    </row>
    <row r="743" ht="15.75" customHeight="1">
      <c r="C743" s="103"/>
    </row>
    <row r="744" ht="15.75" customHeight="1">
      <c r="C744" s="103"/>
    </row>
    <row r="745" ht="15.75" customHeight="1">
      <c r="C745" s="103"/>
    </row>
    <row r="746" ht="15.75" customHeight="1">
      <c r="C746" s="103"/>
    </row>
    <row r="747" ht="15.75" customHeight="1">
      <c r="C747" s="103"/>
    </row>
    <row r="748" ht="15.75" customHeight="1">
      <c r="C748" s="103"/>
    </row>
    <row r="749" ht="15.75" customHeight="1">
      <c r="C749" s="103"/>
    </row>
    <row r="750" ht="15.75" customHeight="1">
      <c r="C750" s="103"/>
    </row>
    <row r="751" ht="15.75" customHeight="1">
      <c r="C751" s="103"/>
    </row>
    <row r="752" ht="15.75" customHeight="1">
      <c r="C752" s="103"/>
    </row>
    <row r="753" ht="15.75" customHeight="1">
      <c r="C753" s="103"/>
    </row>
    <row r="754" ht="15.75" customHeight="1">
      <c r="C754" s="103"/>
    </row>
    <row r="755" ht="15.75" customHeight="1">
      <c r="C755" s="103"/>
    </row>
    <row r="756" ht="15.75" customHeight="1">
      <c r="C756" s="103"/>
    </row>
    <row r="757" ht="15.75" customHeight="1">
      <c r="C757" s="103"/>
    </row>
    <row r="758" ht="15.75" customHeight="1">
      <c r="C758" s="103"/>
    </row>
    <row r="759" ht="15.75" customHeight="1">
      <c r="C759" s="103"/>
    </row>
    <row r="760" ht="15.75" customHeight="1">
      <c r="C760" s="103"/>
    </row>
    <row r="761" ht="15.75" customHeight="1">
      <c r="C761" s="103"/>
    </row>
    <row r="762" ht="15.75" customHeight="1">
      <c r="C762" s="103"/>
    </row>
    <row r="763" ht="15.75" customHeight="1">
      <c r="C763" s="103"/>
    </row>
    <row r="764" ht="15.75" customHeight="1">
      <c r="C764" s="103"/>
    </row>
    <row r="765" ht="15.75" customHeight="1">
      <c r="C765" s="103"/>
    </row>
    <row r="766" ht="15.75" customHeight="1">
      <c r="C766" s="103"/>
    </row>
    <row r="767" ht="15.75" customHeight="1">
      <c r="C767" s="103"/>
    </row>
    <row r="768" ht="15.75" customHeight="1">
      <c r="C768" s="103"/>
    </row>
    <row r="769" ht="15.75" customHeight="1">
      <c r="C769" s="103"/>
    </row>
    <row r="770" ht="15.75" customHeight="1">
      <c r="C770" s="103"/>
    </row>
    <row r="771" ht="15.75" customHeight="1">
      <c r="C771" s="103"/>
    </row>
    <row r="772" ht="15.75" customHeight="1">
      <c r="C772" s="103"/>
    </row>
    <row r="773" ht="15.75" customHeight="1">
      <c r="C773" s="103"/>
    </row>
    <row r="774" ht="15.75" customHeight="1">
      <c r="C774" s="103"/>
    </row>
    <row r="775" ht="15.75" customHeight="1">
      <c r="C775" s="103"/>
    </row>
    <row r="776" ht="15.75" customHeight="1">
      <c r="C776" s="103"/>
    </row>
    <row r="777" ht="15.75" customHeight="1">
      <c r="C777" s="103"/>
    </row>
    <row r="778" ht="15.75" customHeight="1">
      <c r="C778" s="103"/>
    </row>
    <row r="779" ht="15.75" customHeight="1">
      <c r="C779" s="103"/>
    </row>
    <row r="780" ht="15.75" customHeight="1">
      <c r="C780" s="103"/>
    </row>
    <row r="781" ht="15.75" customHeight="1">
      <c r="C781" s="103"/>
    </row>
    <row r="782" ht="15.75" customHeight="1">
      <c r="C782" s="103"/>
    </row>
    <row r="783" ht="15.75" customHeight="1">
      <c r="C783" s="103"/>
    </row>
    <row r="784" ht="15.75" customHeight="1">
      <c r="C784" s="103"/>
    </row>
    <row r="785" ht="15.75" customHeight="1">
      <c r="C785" s="103"/>
    </row>
    <row r="786" ht="15.75" customHeight="1">
      <c r="C786" s="103"/>
    </row>
    <row r="787" ht="15.75" customHeight="1">
      <c r="C787" s="103"/>
    </row>
    <row r="788" ht="15.75" customHeight="1">
      <c r="C788" s="103"/>
    </row>
    <row r="789" ht="15.75" customHeight="1">
      <c r="C789" s="103"/>
    </row>
    <row r="790" ht="15.75" customHeight="1">
      <c r="C790" s="103"/>
    </row>
    <row r="791" ht="15.75" customHeight="1">
      <c r="C791" s="103"/>
    </row>
    <row r="792" ht="15.75" customHeight="1">
      <c r="C792" s="103"/>
    </row>
    <row r="793" ht="15.75" customHeight="1">
      <c r="C793" s="103"/>
    </row>
    <row r="794" ht="15.75" customHeight="1">
      <c r="C794" s="103"/>
    </row>
    <row r="795" ht="15.75" customHeight="1">
      <c r="C795" s="103"/>
    </row>
    <row r="796" ht="15.75" customHeight="1">
      <c r="C796" s="103"/>
    </row>
    <row r="797" ht="15.75" customHeight="1">
      <c r="C797" s="103"/>
    </row>
    <row r="798" ht="15.75" customHeight="1">
      <c r="C798" s="103"/>
    </row>
    <row r="799" ht="15.75" customHeight="1">
      <c r="C799" s="103"/>
    </row>
    <row r="800" ht="15.75" customHeight="1">
      <c r="C800" s="103"/>
    </row>
    <row r="801" ht="15.75" customHeight="1">
      <c r="C801" s="103"/>
    </row>
    <row r="802" ht="15.75" customHeight="1">
      <c r="C802" s="103"/>
    </row>
    <row r="803" ht="15.75" customHeight="1">
      <c r="C803" s="103"/>
    </row>
    <row r="804" ht="15.75" customHeight="1">
      <c r="C804" s="103"/>
    </row>
    <row r="805" ht="15.75" customHeight="1">
      <c r="C805" s="103"/>
    </row>
    <row r="806" ht="15.75" customHeight="1">
      <c r="C806" s="103"/>
    </row>
    <row r="807" ht="15.75" customHeight="1">
      <c r="C807" s="103"/>
    </row>
    <row r="808" ht="15.75" customHeight="1">
      <c r="C808" s="103"/>
    </row>
    <row r="809" ht="15.75" customHeight="1">
      <c r="C809" s="103"/>
    </row>
    <row r="810" ht="15.75" customHeight="1">
      <c r="C810" s="103"/>
    </row>
    <row r="811" ht="15.75" customHeight="1">
      <c r="C811" s="103"/>
    </row>
    <row r="812" ht="15.75" customHeight="1">
      <c r="C812" s="103"/>
    </row>
    <row r="813" ht="15.75" customHeight="1">
      <c r="C813" s="103"/>
    </row>
    <row r="814" ht="15.75" customHeight="1">
      <c r="C814" s="103"/>
    </row>
    <row r="815" ht="15.75" customHeight="1">
      <c r="C815" s="103"/>
    </row>
    <row r="816" ht="15.75" customHeight="1">
      <c r="C816" s="103"/>
    </row>
    <row r="817" ht="15.75" customHeight="1">
      <c r="C817" s="103"/>
    </row>
    <row r="818" ht="15.75" customHeight="1">
      <c r="C818" s="103"/>
    </row>
    <row r="819" ht="15.75" customHeight="1">
      <c r="C819" s="103"/>
    </row>
    <row r="820" ht="15.75" customHeight="1">
      <c r="C820" s="103"/>
    </row>
    <row r="821" ht="15.75" customHeight="1">
      <c r="C821" s="103"/>
    </row>
    <row r="822" ht="15.75" customHeight="1">
      <c r="C822" s="103"/>
    </row>
    <row r="823" ht="15.75" customHeight="1">
      <c r="C823" s="103"/>
    </row>
    <row r="824" ht="15.75" customHeight="1">
      <c r="C824" s="103"/>
    </row>
    <row r="825" ht="15.75" customHeight="1">
      <c r="C825" s="103"/>
    </row>
    <row r="826" ht="15.75" customHeight="1">
      <c r="C826" s="103"/>
    </row>
    <row r="827" ht="15.75" customHeight="1">
      <c r="C827" s="103"/>
    </row>
    <row r="828" ht="15.75" customHeight="1">
      <c r="C828" s="103"/>
    </row>
    <row r="829" ht="15.75" customHeight="1">
      <c r="C829" s="103"/>
    </row>
    <row r="830" ht="15.75" customHeight="1">
      <c r="C830" s="103"/>
    </row>
    <row r="831" ht="15.75" customHeight="1">
      <c r="C831" s="103"/>
    </row>
    <row r="832" ht="15.75" customHeight="1">
      <c r="C832" s="103"/>
    </row>
    <row r="833" ht="15.75" customHeight="1">
      <c r="C833" s="103"/>
    </row>
    <row r="834" ht="15.75" customHeight="1">
      <c r="C834" s="103"/>
    </row>
    <row r="835" ht="15.75" customHeight="1">
      <c r="C835" s="103"/>
    </row>
    <row r="836" ht="15.75" customHeight="1">
      <c r="C836" s="103"/>
    </row>
    <row r="837" ht="15.75" customHeight="1">
      <c r="C837" s="103"/>
    </row>
    <row r="838" ht="15.75" customHeight="1">
      <c r="C838" s="103"/>
    </row>
    <row r="839" ht="15.75" customHeight="1">
      <c r="C839" s="103"/>
    </row>
    <row r="840" ht="15.75" customHeight="1">
      <c r="C840" s="103"/>
    </row>
    <row r="841" ht="15.75" customHeight="1">
      <c r="C841" s="103"/>
    </row>
    <row r="842" ht="15.75" customHeight="1">
      <c r="C842" s="103"/>
    </row>
    <row r="843" ht="15.75" customHeight="1">
      <c r="C843" s="103"/>
    </row>
    <row r="844" ht="15.75" customHeight="1">
      <c r="C844" s="103"/>
    </row>
    <row r="845" ht="15.75" customHeight="1">
      <c r="C845" s="103"/>
    </row>
    <row r="846" ht="15.75" customHeight="1">
      <c r="C846" s="103"/>
    </row>
    <row r="847" ht="15.75" customHeight="1">
      <c r="C847" s="103"/>
    </row>
    <row r="848" ht="15.75" customHeight="1">
      <c r="C848" s="103"/>
    </row>
    <row r="849" ht="15.75" customHeight="1">
      <c r="C849" s="103"/>
    </row>
    <row r="850" ht="15.75" customHeight="1">
      <c r="C850" s="103"/>
    </row>
    <row r="851" ht="15.75" customHeight="1">
      <c r="C851" s="103"/>
    </row>
    <row r="852" ht="15.75" customHeight="1">
      <c r="C852" s="103"/>
    </row>
    <row r="853" ht="15.75" customHeight="1">
      <c r="C853" s="103"/>
    </row>
    <row r="854" ht="15.75" customHeight="1">
      <c r="C854" s="103"/>
    </row>
    <row r="855" ht="15.75" customHeight="1">
      <c r="C855" s="103"/>
    </row>
    <row r="856" ht="15.75" customHeight="1">
      <c r="C856" s="103"/>
    </row>
    <row r="857" ht="15.75" customHeight="1">
      <c r="C857" s="103"/>
    </row>
    <row r="858" ht="15.75" customHeight="1">
      <c r="C858" s="103"/>
    </row>
    <row r="859" ht="15.75" customHeight="1">
      <c r="C859" s="103"/>
    </row>
    <row r="860" ht="15.75" customHeight="1">
      <c r="C860" s="103"/>
    </row>
    <row r="861" ht="15.75" customHeight="1">
      <c r="C861" s="103"/>
    </row>
    <row r="862" ht="15.75" customHeight="1">
      <c r="C862" s="103"/>
    </row>
    <row r="863" ht="15.75" customHeight="1">
      <c r="C863" s="103"/>
    </row>
    <row r="864" ht="15.75" customHeight="1">
      <c r="C864" s="103"/>
    </row>
    <row r="865" ht="15.75" customHeight="1">
      <c r="C865" s="103"/>
    </row>
    <row r="866" ht="15.75" customHeight="1">
      <c r="C866" s="103"/>
    </row>
    <row r="867" ht="15.75" customHeight="1">
      <c r="C867" s="103"/>
    </row>
    <row r="868" ht="15.75" customHeight="1">
      <c r="C868" s="103"/>
    </row>
    <row r="869" ht="15.75" customHeight="1">
      <c r="C869" s="103"/>
    </row>
    <row r="870" ht="15.75" customHeight="1">
      <c r="C870" s="103"/>
    </row>
    <row r="871" ht="15.75" customHeight="1">
      <c r="C871" s="103"/>
    </row>
    <row r="872" ht="15.75" customHeight="1">
      <c r="C872" s="103"/>
    </row>
    <row r="873" ht="15.75" customHeight="1">
      <c r="C873" s="103"/>
    </row>
    <row r="874" ht="15.75" customHeight="1">
      <c r="C874" s="103"/>
    </row>
    <row r="875" ht="15.75" customHeight="1">
      <c r="C875" s="103"/>
    </row>
    <row r="876" ht="15.75" customHeight="1">
      <c r="C876" s="103"/>
    </row>
    <row r="877" ht="15.75" customHeight="1">
      <c r="C877" s="103"/>
    </row>
    <row r="878" ht="15.75" customHeight="1">
      <c r="C878" s="103"/>
    </row>
    <row r="879" ht="15.75" customHeight="1">
      <c r="C879" s="103"/>
    </row>
    <row r="880" ht="15.75" customHeight="1">
      <c r="C880" s="103"/>
    </row>
    <row r="881" ht="15.75" customHeight="1">
      <c r="C881" s="103"/>
    </row>
    <row r="882" ht="15.75" customHeight="1">
      <c r="C882" s="103"/>
    </row>
    <row r="883" ht="15.75" customHeight="1">
      <c r="C883" s="103"/>
    </row>
    <row r="884" ht="15.75" customHeight="1">
      <c r="C884" s="103"/>
    </row>
    <row r="885" ht="15.75" customHeight="1">
      <c r="C885" s="103"/>
    </row>
    <row r="886" ht="15.75" customHeight="1">
      <c r="C886" s="103"/>
    </row>
    <row r="887" ht="15.75" customHeight="1">
      <c r="C887" s="103"/>
    </row>
    <row r="888" ht="15.75" customHeight="1">
      <c r="C888" s="103"/>
    </row>
    <row r="889" ht="15.75" customHeight="1">
      <c r="C889" s="103"/>
    </row>
    <row r="890" ht="15.75" customHeight="1">
      <c r="C890" s="103"/>
    </row>
    <row r="891" ht="15.75" customHeight="1">
      <c r="C891" s="103"/>
    </row>
    <row r="892" ht="15.75" customHeight="1">
      <c r="C892" s="103"/>
    </row>
    <row r="893" ht="15.75" customHeight="1">
      <c r="C893" s="103"/>
    </row>
    <row r="894" ht="15.75" customHeight="1">
      <c r="C894" s="103"/>
    </row>
    <row r="895" ht="15.75" customHeight="1">
      <c r="C895" s="103"/>
    </row>
    <row r="896" ht="15.75" customHeight="1">
      <c r="C896" s="103"/>
    </row>
    <row r="897" ht="15.75" customHeight="1">
      <c r="C897" s="103"/>
    </row>
    <row r="898" ht="15.75" customHeight="1">
      <c r="C898" s="103"/>
    </row>
    <row r="899" ht="15.75" customHeight="1">
      <c r="C899" s="103"/>
    </row>
    <row r="900" ht="15.75" customHeight="1">
      <c r="C900" s="103"/>
    </row>
    <row r="901" ht="15.75" customHeight="1">
      <c r="C901" s="103"/>
    </row>
    <row r="902" ht="15.75" customHeight="1">
      <c r="C902" s="103"/>
    </row>
    <row r="903" ht="15.75" customHeight="1">
      <c r="C903" s="103"/>
    </row>
    <row r="904" ht="15.75" customHeight="1">
      <c r="C904" s="103"/>
    </row>
    <row r="905" ht="15.75" customHeight="1">
      <c r="C905" s="103"/>
    </row>
    <row r="906" ht="15.75" customHeight="1">
      <c r="C906" s="103"/>
    </row>
    <row r="907" ht="15.75" customHeight="1">
      <c r="C907" s="103"/>
    </row>
    <row r="908" ht="15.75" customHeight="1">
      <c r="C908" s="103"/>
    </row>
    <row r="909" ht="15.75" customHeight="1">
      <c r="C909" s="103"/>
    </row>
    <row r="910" ht="15.75" customHeight="1">
      <c r="C910" s="103"/>
    </row>
    <row r="911" ht="15.75" customHeight="1">
      <c r="C911" s="103"/>
    </row>
    <row r="912" ht="15.75" customHeight="1">
      <c r="C912" s="103"/>
    </row>
    <row r="913" ht="15.75" customHeight="1">
      <c r="C913" s="103"/>
    </row>
    <row r="914" ht="15.75" customHeight="1">
      <c r="C914" s="103"/>
    </row>
    <row r="915" ht="15.75" customHeight="1">
      <c r="C915" s="103"/>
    </row>
    <row r="916" ht="15.75" customHeight="1">
      <c r="C916" s="103"/>
    </row>
    <row r="917" ht="15.75" customHeight="1">
      <c r="C917" s="103"/>
    </row>
    <row r="918" ht="15.75" customHeight="1">
      <c r="C918" s="103"/>
    </row>
    <row r="919" ht="15.75" customHeight="1">
      <c r="C919" s="103"/>
    </row>
    <row r="920" ht="15.75" customHeight="1">
      <c r="C920" s="103"/>
    </row>
    <row r="921" ht="15.75" customHeight="1">
      <c r="C921" s="103"/>
    </row>
    <row r="922" ht="15.75" customHeight="1">
      <c r="C922" s="103"/>
    </row>
    <row r="923" ht="15.75" customHeight="1">
      <c r="C923" s="103"/>
    </row>
    <row r="924" ht="15.75" customHeight="1">
      <c r="C924" s="103"/>
    </row>
    <row r="925" ht="15.75" customHeight="1">
      <c r="C925" s="103"/>
    </row>
    <row r="926" ht="15.75" customHeight="1">
      <c r="C926" s="103"/>
    </row>
    <row r="927" ht="15.75" customHeight="1">
      <c r="C927" s="103"/>
    </row>
    <row r="928" ht="15.75" customHeight="1">
      <c r="C928" s="103"/>
    </row>
    <row r="929" ht="15.75" customHeight="1">
      <c r="C929" s="103"/>
    </row>
    <row r="930" ht="15.75" customHeight="1">
      <c r="C930" s="103"/>
    </row>
    <row r="931" ht="15.75" customHeight="1">
      <c r="C931" s="103"/>
    </row>
    <row r="932" ht="15.75" customHeight="1">
      <c r="C932" s="103"/>
    </row>
    <row r="933" ht="15.75" customHeight="1">
      <c r="C933" s="103"/>
    </row>
    <row r="934" ht="15.75" customHeight="1">
      <c r="C934" s="103"/>
    </row>
    <row r="935" ht="15.75" customHeight="1">
      <c r="C935" s="103"/>
    </row>
    <row r="936" ht="15.75" customHeight="1">
      <c r="C936" s="103"/>
    </row>
    <row r="937" ht="15.75" customHeight="1">
      <c r="C937" s="103"/>
    </row>
    <row r="938" ht="15.75" customHeight="1">
      <c r="C938" s="103"/>
    </row>
    <row r="939" ht="15.75" customHeight="1">
      <c r="C939" s="103"/>
    </row>
    <row r="940" ht="15.75" customHeight="1">
      <c r="C940" s="103"/>
    </row>
    <row r="941" ht="15.75" customHeight="1">
      <c r="C941" s="103"/>
    </row>
    <row r="942" ht="15.75" customHeight="1">
      <c r="C942" s="103"/>
    </row>
    <row r="943" ht="15.75" customHeight="1">
      <c r="C943" s="103"/>
    </row>
    <row r="944" ht="15.75" customHeight="1">
      <c r="C944" s="103"/>
    </row>
    <row r="945" ht="15.75" customHeight="1">
      <c r="C945" s="103"/>
    </row>
    <row r="946" ht="15.75" customHeight="1">
      <c r="C946" s="103"/>
    </row>
    <row r="947" ht="15.75" customHeight="1">
      <c r="C947" s="103"/>
    </row>
    <row r="948" ht="15.75" customHeight="1">
      <c r="C948" s="103"/>
    </row>
    <row r="949" ht="15.75" customHeight="1">
      <c r="C949" s="103"/>
    </row>
    <row r="950" ht="15.75" customHeight="1">
      <c r="C950" s="103"/>
    </row>
    <row r="951" ht="15.75" customHeight="1">
      <c r="C951" s="103"/>
    </row>
    <row r="952" ht="15.75" customHeight="1">
      <c r="C952" s="103"/>
    </row>
    <row r="953" ht="15.75" customHeight="1">
      <c r="C953" s="103"/>
    </row>
    <row r="954" ht="15.75" customHeight="1">
      <c r="C954" s="103"/>
    </row>
    <row r="955" ht="15.75" customHeight="1">
      <c r="C955" s="103"/>
    </row>
    <row r="956" ht="15.75" customHeight="1">
      <c r="C956" s="103"/>
    </row>
    <row r="957" ht="15.75" customHeight="1">
      <c r="C957" s="103"/>
    </row>
    <row r="958" ht="15.75" customHeight="1">
      <c r="C958" s="103"/>
    </row>
    <row r="959" ht="15.75" customHeight="1">
      <c r="C959" s="103"/>
    </row>
    <row r="960" ht="15.75" customHeight="1">
      <c r="C960" s="103"/>
    </row>
    <row r="961" ht="15.75" customHeight="1">
      <c r="C961" s="103"/>
    </row>
    <row r="962" ht="15.75" customHeight="1">
      <c r="C962" s="103"/>
    </row>
    <row r="963" ht="15.75" customHeight="1">
      <c r="C963" s="103"/>
    </row>
    <row r="964" ht="15.75" customHeight="1">
      <c r="C964" s="103"/>
    </row>
    <row r="965" ht="15.75" customHeight="1">
      <c r="C965" s="103"/>
    </row>
    <row r="966" ht="15.75" customHeight="1">
      <c r="C966" s="103"/>
    </row>
    <row r="967" ht="15.75" customHeight="1">
      <c r="C967" s="103"/>
    </row>
    <row r="968" ht="15.75" customHeight="1">
      <c r="C968" s="103"/>
    </row>
    <row r="969" ht="15.75" customHeight="1">
      <c r="C969" s="103"/>
    </row>
    <row r="970" ht="15.75" customHeight="1">
      <c r="C970" s="103"/>
    </row>
    <row r="971" ht="15.75" customHeight="1">
      <c r="C971" s="103"/>
    </row>
    <row r="972" ht="15.75" customHeight="1">
      <c r="C972" s="103"/>
    </row>
    <row r="973" ht="15.75" customHeight="1">
      <c r="C973" s="103"/>
    </row>
    <row r="974" ht="15.75" customHeight="1">
      <c r="C974" s="103"/>
    </row>
    <row r="975" ht="15.75" customHeight="1">
      <c r="C975" s="103"/>
    </row>
    <row r="976" ht="15.75" customHeight="1">
      <c r="C976" s="103"/>
    </row>
    <row r="977" ht="15.75" customHeight="1">
      <c r="C977" s="103"/>
    </row>
    <row r="978" ht="15.75" customHeight="1">
      <c r="C978" s="103"/>
    </row>
    <row r="979" ht="15.75" customHeight="1">
      <c r="C979" s="103"/>
    </row>
    <row r="980" ht="15.75" customHeight="1">
      <c r="C980" s="103"/>
    </row>
    <row r="981" ht="15.75" customHeight="1">
      <c r="C981" s="103"/>
    </row>
    <row r="982" ht="15.75" customHeight="1">
      <c r="C982" s="103"/>
    </row>
    <row r="983" ht="15.75" customHeight="1">
      <c r="C983" s="103"/>
    </row>
    <row r="984" ht="15.75" customHeight="1">
      <c r="C984" s="103"/>
    </row>
    <row r="985" ht="15.75" customHeight="1">
      <c r="C985" s="103"/>
    </row>
    <row r="986" ht="15.75" customHeight="1">
      <c r="C986" s="103"/>
    </row>
    <row r="987" ht="15.75" customHeight="1">
      <c r="C987" s="103"/>
    </row>
    <row r="988" ht="15.75" customHeight="1">
      <c r="C988" s="103"/>
    </row>
    <row r="989" ht="15.75" customHeight="1">
      <c r="C989" s="103"/>
    </row>
    <row r="990" ht="15.75" customHeight="1">
      <c r="C990" s="103"/>
    </row>
    <row r="991" ht="15.75" customHeight="1">
      <c r="C991" s="103"/>
    </row>
    <row r="992" ht="15.75" customHeight="1">
      <c r="C992" s="103"/>
    </row>
    <row r="993" ht="15.75" customHeight="1">
      <c r="C993" s="103"/>
    </row>
    <row r="994" ht="15.75" customHeight="1">
      <c r="C994" s="103"/>
    </row>
    <row r="995" ht="15.75" customHeight="1">
      <c r="C995" s="103"/>
    </row>
    <row r="996" ht="15.75" customHeight="1">
      <c r="C996" s="103"/>
    </row>
    <row r="997" ht="15.75" customHeight="1">
      <c r="C997" s="103"/>
    </row>
    <row r="998" ht="15.75" customHeight="1">
      <c r="C998" s="103"/>
    </row>
    <row r="999" ht="15.75" customHeight="1">
      <c r="C999" s="103"/>
    </row>
    <row r="1000" ht="15.75" customHeight="1">
      <c r="C1000" s="10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16.0"/>
    <col customWidth="1" min="3" max="3" width="24.0"/>
    <col customWidth="1" min="4" max="4" width="8.63"/>
    <col customWidth="1" min="5" max="5" width="21.13"/>
    <col customWidth="1" min="6" max="6" width="30.88"/>
    <col customWidth="1" min="7" max="7" width="20.13"/>
    <col customWidth="1" min="8" max="8" width="20.63"/>
    <col customWidth="1" min="9" max="9" width="18.0"/>
    <col customWidth="1" min="10" max="10" width="20.88"/>
    <col customWidth="1" min="11" max="11" width="23.75"/>
    <col customWidth="1" min="12" max="12" width="8.63"/>
    <col customWidth="1" min="13" max="13" width="20.63"/>
    <col customWidth="1" min="14" max="14" width="26.38"/>
    <col customWidth="1" min="15" max="26" width="8.63"/>
  </cols>
  <sheetData>
    <row r="1" ht="22.5" customHeight="1">
      <c r="A1" s="8" t="s">
        <v>12</v>
      </c>
      <c r="B1" s="8" t="s">
        <v>9</v>
      </c>
      <c r="C1" s="8" t="s">
        <v>21</v>
      </c>
      <c r="D1" s="1"/>
      <c r="E1" s="12" t="s">
        <v>23</v>
      </c>
      <c r="F1" s="12" t="s">
        <v>24</v>
      </c>
      <c r="G1" s="12" t="s">
        <v>27</v>
      </c>
      <c r="H1" s="12" t="s">
        <v>30</v>
      </c>
      <c r="I1" s="12" t="s">
        <v>33</v>
      </c>
      <c r="J1" s="12" t="s">
        <v>34</v>
      </c>
      <c r="K1" s="12" t="s">
        <v>35</v>
      </c>
      <c r="L1" s="1"/>
      <c r="M1" s="16" t="s">
        <v>27</v>
      </c>
      <c r="N1" s="16" t="s">
        <v>36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7" t="s">
        <v>38</v>
      </c>
      <c r="B2" s="17" t="s">
        <v>2</v>
      </c>
      <c r="C2" s="17" t="s">
        <v>3</v>
      </c>
      <c r="D2" s="1"/>
      <c r="E2" s="18">
        <v>1000.0</v>
      </c>
      <c r="F2" s="19" t="s">
        <v>40</v>
      </c>
      <c r="G2" s="20" t="s">
        <v>41</v>
      </c>
      <c r="H2" s="20" t="s">
        <v>42</v>
      </c>
      <c r="I2" s="20" t="s">
        <v>8</v>
      </c>
      <c r="J2" s="19" t="s">
        <v>40</v>
      </c>
      <c r="K2" s="24">
        <f>IF(J2="",0,IF(I2="Account",COUNTIF(Transactions!$E:$E,J2),COUNTIF(Transactions!$G:$G,J2)))</f>
        <v>109</v>
      </c>
      <c r="L2" s="1"/>
      <c r="M2" s="19" t="s">
        <v>41</v>
      </c>
      <c r="N2" s="24">
        <f t="shared" ref="N2:N7" si="1">COUNTIF($G$2:$G$30,M2)</f>
        <v>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7" t="s">
        <v>61</v>
      </c>
      <c r="B3" s="17" t="s">
        <v>2</v>
      </c>
      <c r="C3" s="17" t="s">
        <v>15</v>
      </c>
      <c r="D3" s="1"/>
      <c r="E3" s="18">
        <v>1010.0</v>
      </c>
      <c r="F3" s="19" t="s">
        <v>60</v>
      </c>
      <c r="G3" s="20" t="s">
        <v>41</v>
      </c>
      <c r="H3" s="20" t="s">
        <v>42</v>
      </c>
      <c r="I3" s="20" t="s">
        <v>8</v>
      </c>
      <c r="J3" s="19" t="s">
        <v>60</v>
      </c>
      <c r="K3" s="24">
        <f>IF(J3="",0,IF(I3="Account",COUNTIF(Transactions!$E:$E,J3),COUNTIF(Transactions!$G:$G,J3)))</f>
        <v>12</v>
      </c>
      <c r="L3" s="1"/>
      <c r="M3" s="41" t="s">
        <v>66</v>
      </c>
      <c r="N3" s="24">
        <f t="shared" si="1"/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7" t="s">
        <v>71</v>
      </c>
      <c r="B4" s="17" t="s">
        <v>2</v>
      </c>
      <c r="C4" s="17" t="s">
        <v>26</v>
      </c>
      <c r="D4" s="1"/>
      <c r="E4" s="18">
        <v>1100.0</v>
      </c>
      <c r="F4" s="19" t="s">
        <v>72</v>
      </c>
      <c r="G4" s="20" t="s">
        <v>41</v>
      </c>
      <c r="H4" s="20" t="s">
        <v>42</v>
      </c>
      <c r="I4" s="42"/>
      <c r="J4" s="24"/>
      <c r="K4" s="24">
        <f>IF(J4="",0,IF(I4="Account",COUNTIF(Transactions!$E:$E,J4),COUNTIF(Transactions!$G:$G,J4)))</f>
        <v>0</v>
      </c>
      <c r="L4" s="1"/>
      <c r="M4" s="41" t="s">
        <v>75</v>
      </c>
      <c r="N4" s="24">
        <f t="shared" si="1"/>
        <v>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7" t="s">
        <v>78</v>
      </c>
      <c r="B5" s="17" t="s">
        <v>2</v>
      </c>
      <c r="C5" s="17" t="s">
        <v>39</v>
      </c>
      <c r="D5" s="1"/>
      <c r="E5" s="18">
        <v>1500.0</v>
      </c>
      <c r="F5" s="19" t="s">
        <v>82</v>
      </c>
      <c r="G5" s="20" t="s">
        <v>41</v>
      </c>
      <c r="H5" s="20" t="s">
        <v>42</v>
      </c>
      <c r="I5" s="42"/>
      <c r="J5" s="24"/>
      <c r="K5" s="24">
        <f>IF(J5="",0,IF(I5="Account",COUNTIF(Transactions!$E:$E,J5),COUNTIF(Transactions!$G:$G,J5)))</f>
        <v>0</v>
      </c>
      <c r="L5" s="1"/>
      <c r="M5" s="41" t="s">
        <v>86</v>
      </c>
      <c r="N5" s="24">
        <f t="shared" si="1"/>
        <v>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7" t="s">
        <v>90</v>
      </c>
      <c r="B6" s="17" t="s">
        <v>2</v>
      </c>
      <c r="C6" s="17" t="s">
        <v>43</v>
      </c>
      <c r="D6" s="1"/>
      <c r="E6" s="18">
        <v>1590.0</v>
      </c>
      <c r="F6" s="19" t="s">
        <v>91</v>
      </c>
      <c r="G6" s="20" t="s">
        <v>66</v>
      </c>
      <c r="H6" s="20" t="s">
        <v>94</v>
      </c>
      <c r="I6" s="42"/>
      <c r="J6" s="24"/>
      <c r="K6" s="24">
        <f>IF(J6="",0,IF(I6="Account",COUNTIF(Transactions!$E:$E,J6),COUNTIF(Transactions!$G:$G,J6)))</f>
        <v>0</v>
      </c>
      <c r="L6" s="1"/>
      <c r="M6" s="41" t="s">
        <v>2</v>
      </c>
      <c r="N6" s="24">
        <f t="shared" si="1"/>
        <v>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7" t="s">
        <v>99</v>
      </c>
      <c r="B7" s="17" t="s">
        <v>2</v>
      </c>
      <c r="C7" s="17" t="s">
        <v>47</v>
      </c>
      <c r="D7" s="1"/>
      <c r="E7" s="18">
        <v>2000.0</v>
      </c>
      <c r="F7" s="19" t="s">
        <v>101</v>
      </c>
      <c r="G7" s="20" t="s">
        <v>75</v>
      </c>
      <c r="H7" s="20" t="s">
        <v>94</v>
      </c>
      <c r="I7" s="20" t="s">
        <v>8</v>
      </c>
      <c r="J7" s="19" t="s">
        <v>29</v>
      </c>
      <c r="K7" s="24">
        <f>IF(J7="",0,IF(I7="Account",COUNTIF(Transactions!$E:$E,J7),COUNTIF(Transactions!$G:$G,J7)))</f>
        <v>53</v>
      </c>
      <c r="L7" s="1"/>
      <c r="M7" s="41" t="s">
        <v>31</v>
      </c>
      <c r="N7" s="24">
        <f t="shared" si="1"/>
        <v>12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7" t="s">
        <v>109</v>
      </c>
      <c r="B8" s="17" t="s">
        <v>31</v>
      </c>
      <c r="C8" s="17" t="s">
        <v>53</v>
      </c>
      <c r="D8" s="1"/>
      <c r="E8" s="18">
        <v>2100.0</v>
      </c>
      <c r="F8" s="19" t="s">
        <v>112</v>
      </c>
      <c r="G8" s="20" t="s">
        <v>75</v>
      </c>
      <c r="H8" s="20" t="s">
        <v>94</v>
      </c>
      <c r="I8" s="42"/>
      <c r="J8" s="24"/>
      <c r="K8" s="24">
        <f>IF(J8="",0,IF(I8="Account",COUNTIF(Transactions!$E:$E,J8),COUNTIF(Transactions!$G:$G,J8)))</f>
        <v>0</v>
      </c>
      <c r="L8" s="1"/>
      <c r="M8" s="24"/>
      <c r="N8" s="2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7" t="s">
        <v>124</v>
      </c>
      <c r="B9" s="17" t="s">
        <v>31</v>
      </c>
      <c r="C9" s="17" t="s">
        <v>65</v>
      </c>
      <c r="D9" s="1"/>
      <c r="E9" s="18">
        <v>2200.0</v>
      </c>
      <c r="F9" s="19" t="s">
        <v>126</v>
      </c>
      <c r="G9" s="20" t="s">
        <v>75</v>
      </c>
      <c r="H9" s="20" t="s">
        <v>94</v>
      </c>
      <c r="I9" s="42"/>
      <c r="J9" s="24"/>
      <c r="K9" s="24">
        <f>IF(J9="",0,IF(I9="Account",COUNTIF(Transactions!$E:$E,J9),COUNTIF(Transactions!$G:$G,J9)))</f>
        <v>0</v>
      </c>
      <c r="L9" s="1"/>
      <c r="M9" s="63"/>
      <c r="N9" s="6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7" t="s">
        <v>136</v>
      </c>
      <c r="B10" s="17" t="s">
        <v>31</v>
      </c>
      <c r="C10" s="17" t="s">
        <v>32</v>
      </c>
      <c r="D10" s="1"/>
      <c r="E10" s="18">
        <v>3000.0</v>
      </c>
      <c r="F10" s="19" t="s">
        <v>137</v>
      </c>
      <c r="G10" s="20" t="s">
        <v>86</v>
      </c>
      <c r="H10" s="20" t="s">
        <v>94</v>
      </c>
      <c r="I10" s="20" t="s">
        <v>10</v>
      </c>
      <c r="J10" s="19" t="s">
        <v>137</v>
      </c>
      <c r="K10" s="24">
        <f>IF(J10="",0,IF(I10="Account",COUNTIF(Transactions!$E:$E,J10),COUNTIF(Transactions!$G:$G,J10)))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7" t="s">
        <v>141</v>
      </c>
      <c r="B11" s="17" t="s">
        <v>31</v>
      </c>
      <c r="C11" s="17" t="s">
        <v>32</v>
      </c>
      <c r="D11" s="1"/>
      <c r="E11" s="18">
        <v>3100.0</v>
      </c>
      <c r="F11" s="19" t="s">
        <v>142</v>
      </c>
      <c r="G11" s="20" t="s">
        <v>86</v>
      </c>
      <c r="H11" s="20" t="s">
        <v>42</v>
      </c>
      <c r="I11" s="20" t="s">
        <v>10</v>
      </c>
      <c r="J11" s="19" t="s">
        <v>142</v>
      </c>
      <c r="K11" s="24">
        <f>IF(J11="",0,IF(I11="Account",COUNTIF(Transactions!$E:$E,J11),COUNTIF(Transactions!$G:$G,J11)))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7" t="s">
        <v>145</v>
      </c>
      <c r="B12" s="17" t="s">
        <v>31</v>
      </c>
      <c r="C12" s="17" t="s">
        <v>32</v>
      </c>
      <c r="D12" s="1"/>
      <c r="E12" s="18">
        <v>3200.0</v>
      </c>
      <c r="F12" s="19" t="s">
        <v>146</v>
      </c>
      <c r="G12" s="20" t="s">
        <v>86</v>
      </c>
      <c r="H12" s="20" t="s">
        <v>94</v>
      </c>
      <c r="I12" s="42"/>
      <c r="J12" s="24"/>
      <c r="K12" s="24">
        <f>IF(J12="",0,IF(I12="Account",COUNTIF(Transactions!$E:$E,J12),COUNTIF(Transactions!$G:$G,J12)))</f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7" t="s">
        <v>148</v>
      </c>
      <c r="B13" s="17" t="s">
        <v>31</v>
      </c>
      <c r="C13" s="17" t="s">
        <v>70</v>
      </c>
      <c r="D13" s="1"/>
      <c r="E13" s="18">
        <v>4000.0</v>
      </c>
      <c r="F13" s="19" t="s">
        <v>3</v>
      </c>
      <c r="G13" s="20" t="s">
        <v>2</v>
      </c>
      <c r="H13" s="20" t="s">
        <v>94</v>
      </c>
      <c r="I13" s="20" t="s">
        <v>10</v>
      </c>
      <c r="J13" s="19" t="s">
        <v>3</v>
      </c>
      <c r="K13" s="24">
        <f>IF(J13="",0,IF(I13="Account",COUNTIF(Transactions!$E:$E,J13),COUNTIF(Transactions!$G:$G,J13)))</f>
        <v>12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7" t="s">
        <v>151</v>
      </c>
      <c r="B14" s="17" t="s">
        <v>31</v>
      </c>
      <c r="C14" s="17" t="s">
        <v>73</v>
      </c>
      <c r="D14" s="1"/>
      <c r="E14" s="18">
        <v>4010.0</v>
      </c>
      <c r="F14" s="19" t="s">
        <v>15</v>
      </c>
      <c r="G14" s="20" t="s">
        <v>2</v>
      </c>
      <c r="H14" s="20" t="s">
        <v>94</v>
      </c>
      <c r="I14" s="20" t="s">
        <v>10</v>
      </c>
      <c r="J14" s="19" t="s">
        <v>15</v>
      </c>
      <c r="K14" s="24">
        <f>IF(J14="",0,IF(I14="Account",COUNTIF(Transactions!$E:$E,J14),COUNTIF(Transactions!$G:$G,J14)))</f>
        <v>12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7" t="s">
        <v>153</v>
      </c>
      <c r="B15" s="17" t="s">
        <v>31</v>
      </c>
      <c r="C15" s="17" t="s">
        <v>77</v>
      </c>
      <c r="D15" s="1"/>
      <c r="E15" s="18">
        <v>4020.0</v>
      </c>
      <c r="F15" s="19" t="s">
        <v>26</v>
      </c>
      <c r="G15" s="20" t="s">
        <v>2</v>
      </c>
      <c r="H15" s="20" t="s">
        <v>94</v>
      </c>
      <c r="I15" s="20" t="s">
        <v>10</v>
      </c>
      <c r="J15" s="19" t="s">
        <v>26</v>
      </c>
      <c r="K15" s="24">
        <f>IF(J15="",0,IF(I15="Account",COUNTIF(Transactions!$E:$E,J15),COUNTIF(Transactions!$G:$G,J15)))</f>
        <v>12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7" t="s">
        <v>156</v>
      </c>
      <c r="B16" s="17" t="s">
        <v>31</v>
      </c>
      <c r="C16" s="17" t="s">
        <v>79</v>
      </c>
      <c r="D16" s="1"/>
      <c r="E16" s="18">
        <v>4030.0</v>
      </c>
      <c r="F16" s="19" t="s">
        <v>39</v>
      </c>
      <c r="G16" s="20" t="s">
        <v>2</v>
      </c>
      <c r="H16" s="20" t="s">
        <v>94</v>
      </c>
      <c r="I16" s="20" t="s">
        <v>10</v>
      </c>
      <c r="J16" s="19" t="s">
        <v>39</v>
      </c>
      <c r="K16" s="24">
        <f>IF(J16="",0,IF(I16="Account",COUNTIF(Transactions!$E:$E,J16),COUNTIF(Transactions!$G:$G,J16)))</f>
        <v>12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7" t="s">
        <v>160</v>
      </c>
      <c r="B17" s="17" t="s">
        <v>31</v>
      </c>
      <c r="C17" s="17" t="s">
        <v>83</v>
      </c>
      <c r="D17" s="1"/>
      <c r="E17" s="18">
        <v>4040.0</v>
      </c>
      <c r="F17" s="19" t="s">
        <v>43</v>
      </c>
      <c r="G17" s="20" t="s">
        <v>2</v>
      </c>
      <c r="H17" s="20" t="s">
        <v>94</v>
      </c>
      <c r="I17" s="20" t="s">
        <v>10</v>
      </c>
      <c r="J17" s="19" t="s">
        <v>43</v>
      </c>
      <c r="K17" s="24">
        <f>IF(J17="",0,IF(I17="Account",COUNTIF(Transactions!$E:$E,J17),COUNTIF(Transactions!$G:$G,J17)))</f>
        <v>12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7" t="s">
        <v>162</v>
      </c>
      <c r="B18" s="17" t="s">
        <v>31</v>
      </c>
      <c r="C18" s="17" t="s">
        <v>89</v>
      </c>
      <c r="D18" s="1"/>
      <c r="E18" s="18">
        <v>4050.0</v>
      </c>
      <c r="F18" s="19" t="s">
        <v>47</v>
      </c>
      <c r="G18" s="20" t="s">
        <v>2</v>
      </c>
      <c r="H18" s="20" t="s">
        <v>94</v>
      </c>
      <c r="I18" s="20" t="s">
        <v>10</v>
      </c>
      <c r="J18" s="19" t="s">
        <v>47</v>
      </c>
      <c r="K18" s="24">
        <f>IF(J18="",0,IF(I18="Account",COUNTIF(Transactions!$E:$E,J18),COUNTIF(Transactions!$G:$G,J18)))</f>
        <v>12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7" t="s">
        <v>164</v>
      </c>
      <c r="B19" s="17" t="s">
        <v>31</v>
      </c>
      <c r="C19" s="17" t="s">
        <v>93</v>
      </c>
      <c r="D19" s="1"/>
      <c r="E19" s="18">
        <v>5000.0</v>
      </c>
      <c r="F19" s="19" t="s">
        <v>53</v>
      </c>
      <c r="G19" s="20" t="s">
        <v>31</v>
      </c>
      <c r="H19" s="20" t="s">
        <v>42</v>
      </c>
      <c r="I19" s="20" t="s">
        <v>10</v>
      </c>
      <c r="J19" s="19" t="s">
        <v>53</v>
      </c>
      <c r="K19" s="24">
        <f>IF(J19="",0,IF(I19="Account",COUNTIF(Transactions!$E:$E,J19),COUNTIF(Transactions!$G:$G,J19)))</f>
        <v>12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63"/>
      <c r="B20" s="63"/>
      <c r="C20" s="63"/>
      <c r="D20" s="1"/>
      <c r="E20" s="18">
        <v>5010.0</v>
      </c>
      <c r="F20" s="19" t="s">
        <v>65</v>
      </c>
      <c r="G20" s="20" t="s">
        <v>31</v>
      </c>
      <c r="H20" s="20" t="s">
        <v>42</v>
      </c>
      <c r="I20" s="20" t="s">
        <v>10</v>
      </c>
      <c r="J20" s="19" t="s">
        <v>65</v>
      </c>
      <c r="K20" s="24">
        <f>IF(J20="",0,IF(I20="Account",COUNTIF(Transactions!$E:$E,J20),COUNTIF(Transactions!$G:$G,J20)))</f>
        <v>12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3"/>
      <c r="B21" s="63"/>
      <c r="C21" s="63"/>
      <c r="D21" s="1"/>
      <c r="E21" s="18">
        <v>5020.0</v>
      </c>
      <c r="F21" s="19" t="s">
        <v>32</v>
      </c>
      <c r="G21" s="20" t="s">
        <v>31</v>
      </c>
      <c r="H21" s="20" t="s">
        <v>42</v>
      </c>
      <c r="I21" s="20" t="s">
        <v>10</v>
      </c>
      <c r="J21" s="19" t="s">
        <v>32</v>
      </c>
      <c r="K21" s="24">
        <f>IF(J21="",0,IF(I21="Account",COUNTIF(Transactions!$E:$E,J21),COUNTIF(Transactions!$G:$G,J21)))</f>
        <v>24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3"/>
      <c r="B22" s="63"/>
      <c r="C22" s="63"/>
      <c r="D22" s="1"/>
      <c r="E22" s="18">
        <v>5030.0</v>
      </c>
      <c r="F22" s="19" t="s">
        <v>73</v>
      </c>
      <c r="G22" s="20" t="s">
        <v>31</v>
      </c>
      <c r="H22" s="20" t="s">
        <v>42</v>
      </c>
      <c r="I22" s="20" t="s">
        <v>10</v>
      </c>
      <c r="J22" s="19" t="s">
        <v>73</v>
      </c>
      <c r="K22" s="24">
        <f>IF(J22="",0,IF(I22="Account",COUNTIF(Transactions!$E:$E,J22),COUNTIF(Transactions!$G:$G,J22)))</f>
        <v>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8">
        <v>5040.0</v>
      </c>
      <c r="F23" s="19" t="s">
        <v>77</v>
      </c>
      <c r="G23" s="20" t="s">
        <v>31</v>
      </c>
      <c r="H23" s="20" t="s">
        <v>42</v>
      </c>
      <c r="I23" s="20" t="s">
        <v>10</v>
      </c>
      <c r="J23" s="19" t="s">
        <v>77</v>
      </c>
      <c r="K23" s="24">
        <f>IF(J23="",0,IF(I23="Account",COUNTIF(Transactions!$E:$E,J23),COUNTIF(Transactions!$G:$G,J23)))</f>
        <v>10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8">
        <v>5050.0</v>
      </c>
      <c r="F24" s="19" t="s">
        <v>79</v>
      </c>
      <c r="G24" s="20" t="s">
        <v>31</v>
      </c>
      <c r="H24" s="20" t="s">
        <v>42</v>
      </c>
      <c r="I24" s="20" t="s">
        <v>10</v>
      </c>
      <c r="J24" s="19" t="s">
        <v>79</v>
      </c>
      <c r="K24" s="24">
        <f>IF(J24="",0,IF(I24="Account",COUNTIF(Transactions!$E:$E,J24),COUNTIF(Transactions!$G:$G,J24)))</f>
        <v>10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8">
        <v>5060.0</v>
      </c>
      <c r="F25" s="19" t="s">
        <v>83</v>
      </c>
      <c r="G25" s="20" t="s">
        <v>31</v>
      </c>
      <c r="H25" s="20" t="s">
        <v>42</v>
      </c>
      <c r="I25" s="20" t="s">
        <v>10</v>
      </c>
      <c r="J25" s="19" t="s">
        <v>83</v>
      </c>
      <c r="K25" s="24">
        <f>IF(J25="",0,IF(I25="Account",COUNTIF(Transactions!$E:$E,J25),COUNTIF(Transactions!$G:$G,J25)))</f>
        <v>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8">
        <v>5070.0</v>
      </c>
      <c r="F26" s="19" t="s">
        <v>89</v>
      </c>
      <c r="G26" s="20" t="s">
        <v>31</v>
      </c>
      <c r="H26" s="20" t="s">
        <v>42</v>
      </c>
      <c r="I26" s="20" t="s">
        <v>10</v>
      </c>
      <c r="J26" s="19" t="s">
        <v>89</v>
      </c>
      <c r="K26" s="24">
        <f>IF(J26="",0,IF(I26="Account",COUNTIF(Transactions!$E:$E,J26),COUNTIF(Transactions!$G:$G,J26)))</f>
        <v>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8">
        <v>5080.0</v>
      </c>
      <c r="F27" s="19" t="s">
        <v>93</v>
      </c>
      <c r="G27" s="20" t="s">
        <v>31</v>
      </c>
      <c r="H27" s="20" t="s">
        <v>42</v>
      </c>
      <c r="I27" s="20" t="s">
        <v>10</v>
      </c>
      <c r="J27" s="19" t="s">
        <v>93</v>
      </c>
      <c r="K27" s="24">
        <f>IF(J27="",0,IF(I27="Account",COUNTIF(Transactions!$E:$E,J27),COUNTIF(Transactions!$G:$G,J27)))</f>
        <v>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8">
        <v>5090.0</v>
      </c>
      <c r="F28" s="19" t="s">
        <v>182</v>
      </c>
      <c r="G28" s="20" t="s">
        <v>31</v>
      </c>
      <c r="H28" s="20" t="s">
        <v>42</v>
      </c>
      <c r="I28" s="20" t="s">
        <v>10</v>
      </c>
      <c r="J28" s="19" t="s">
        <v>70</v>
      </c>
      <c r="K28" s="24">
        <f>IF(J28="",0,IF(I28="Account",COUNTIF(Transactions!$E:$E,J28),COUNTIF(Transactions!$G:$G,J28)))</f>
        <v>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8">
        <v>5100.0</v>
      </c>
      <c r="F29" s="19" t="s">
        <v>185</v>
      </c>
      <c r="G29" s="20" t="s">
        <v>31</v>
      </c>
      <c r="H29" s="20" t="s">
        <v>42</v>
      </c>
      <c r="I29" s="42"/>
      <c r="J29" s="24"/>
      <c r="K29" s="24">
        <f>IF(J29="",0,IF(I29="Account",COUNTIF(Transactions!$E:$E,J29),COUNTIF(Transactions!$G:$G,J29)))</f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8">
        <v>5110.0</v>
      </c>
      <c r="F30" s="19" t="s">
        <v>197</v>
      </c>
      <c r="G30" s="20" t="s">
        <v>31</v>
      </c>
      <c r="H30" s="20" t="s">
        <v>42</v>
      </c>
      <c r="I30" s="42"/>
      <c r="J30" s="24"/>
      <c r="K30" s="24">
        <f>IF(J30="",0,IF(I30="Account",COUNTIF(Transactions!$E:$E,J30),COUNTIF(Transactions!$G:$G,J30)))</f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8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G2:G30">
      <formula1>"Asset,Contra Asset,Liability,Equity,Revenue,Expense"</formula1>
    </dataValidation>
    <dataValidation type="list" allowBlank="1" showDropDown="1" showErrorMessage="1" sqref="H2:H30">
      <formula1>"Debit,Credit"</formula1>
    </dataValidation>
    <dataValidation type="custom" allowBlank="1" showDropDown="1" sqref="E2:E30">
      <formula1>AND(ISNUMBER(E2),(NOT(OR(NOT(ISERROR(DATEVALUE(E2))), AND(ISNUMBER(E2), LEFT(CELL("format", E2))="D")))))</formula1>
    </dataValidation>
    <dataValidation type="list" allowBlank="1" showDropDown="1" showErrorMessage="1" sqref="I2:I30">
      <formula1>"Account,Category"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8A5B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8.0"/>
    <col customWidth="1" min="3" max="3" width="126.25"/>
    <col customWidth="1" min="4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80" t="s">
        <v>186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3"/>
      <c r="C3" s="63"/>
      <c r="D3" s="63"/>
      <c r="E3" s="63"/>
      <c r="F3" s="63"/>
      <c r="G3" s="63"/>
      <c r="H3" s="6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1" t="s">
        <v>188</v>
      </c>
      <c r="C4" s="82" t="s">
        <v>189</v>
      </c>
      <c r="D4" s="63"/>
      <c r="E4" s="63"/>
      <c r="F4" s="63"/>
      <c r="G4" s="63"/>
      <c r="H4" s="6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1" t="s">
        <v>190</v>
      </c>
      <c r="C5" s="82" t="s">
        <v>191</v>
      </c>
      <c r="D5" s="63"/>
      <c r="E5" s="63"/>
      <c r="F5" s="63"/>
      <c r="G5" s="63"/>
      <c r="H5" s="6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1" t="s">
        <v>192</v>
      </c>
      <c r="C6" s="83" t="s">
        <v>193</v>
      </c>
      <c r="D6" s="63"/>
      <c r="E6" s="63"/>
      <c r="F6" s="63"/>
      <c r="G6" s="63"/>
      <c r="H6" s="6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1" t="s">
        <v>194</v>
      </c>
      <c r="C7" s="82" t="s">
        <v>195</v>
      </c>
      <c r="D7" s="63"/>
      <c r="E7" s="63"/>
      <c r="F7" s="63"/>
      <c r="G7" s="63"/>
      <c r="H7" s="6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1" t="s">
        <v>196</v>
      </c>
      <c r="C8" s="83" t="s">
        <v>198</v>
      </c>
      <c r="D8" s="63"/>
      <c r="E8" s="63"/>
      <c r="F8" s="63"/>
      <c r="G8" s="63"/>
      <c r="H8" s="6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1" t="s">
        <v>199</v>
      </c>
      <c r="C9" s="83" t="s">
        <v>200</v>
      </c>
      <c r="D9" s="63"/>
      <c r="E9" s="63"/>
      <c r="F9" s="63"/>
      <c r="G9" s="63"/>
      <c r="H9" s="6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1" t="s">
        <v>201</v>
      </c>
      <c r="C10" s="82" t="s">
        <v>202</v>
      </c>
      <c r="D10" s="63"/>
      <c r="E10" s="63"/>
      <c r="F10" s="63"/>
      <c r="G10" s="63"/>
      <c r="H10" s="6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4" t="s">
        <v>204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7.25" customHeight="1">
      <c r="A14" s="1"/>
      <c r="B14" s="85" t="s">
        <v>205</v>
      </c>
      <c r="C14" s="86"/>
      <c r="D14" s="86"/>
      <c r="E14" s="86"/>
      <c r="F14" s="86"/>
      <c r="G14" s="86"/>
      <c r="H14" s="8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9.75" customHeight="1">
      <c r="A15" s="1"/>
      <c r="B15" s="85" t="s">
        <v>206</v>
      </c>
      <c r="C15" s="86"/>
      <c r="D15" s="86"/>
      <c r="E15" s="86"/>
      <c r="F15" s="86"/>
      <c r="G15" s="86"/>
      <c r="H15" s="8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88.5" customHeight="1">
      <c r="A16" s="1"/>
      <c r="B16" s="85" t="s">
        <v>207</v>
      </c>
      <c r="C16" s="86"/>
      <c r="D16" s="86"/>
      <c r="E16" s="86"/>
      <c r="F16" s="86"/>
      <c r="G16" s="86"/>
      <c r="H16" s="8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B13:H1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25.38"/>
    <col customWidth="1" min="3" max="3" width="31.5"/>
    <col customWidth="1" min="4" max="4" width="25.38"/>
    <col customWidth="1" min="5" max="5" width="30.75"/>
    <col customWidth="1" min="6" max="6" width="27.75"/>
  </cols>
  <sheetData>
    <row r="1">
      <c r="A1" s="94" t="s">
        <v>248</v>
      </c>
      <c r="B1" s="95"/>
      <c r="C1" s="95"/>
      <c r="D1" s="95"/>
      <c r="E1" s="95"/>
      <c r="F1" s="95"/>
      <c r="G1" s="95"/>
      <c r="H1" s="95"/>
      <c r="I1" s="95"/>
    </row>
    <row r="2">
      <c r="A2" s="94" t="s">
        <v>250</v>
      </c>
      <c r="B2" s="95"/>
      <c r="C2" s="95"/>
      <c r="D2" s="95"/>
      <c r="E2" s="95"/>
      <c r="F2" s="95"/>
      <c r="G2" s="95"/>
      <c r="H2" s="95"/>
      <c r="I2" s="95"/>
    </row>
    <row r="3">
      <c r="A3" s="94" t="s">
        <v>251</v>
      </c>
      <c r="B3" s="96">
        <v>46387.0</v>
      </c>
      <c r="C3" s="95"/>
      <c r="D3" s="95"/>
      <c r="E3" s="95"/>
      <c r="F3" s="95"/>
      <c r="G3" s="95"/>
      <c r="H3" s="95"/>
      <c r="I3" s="95"/>
    </row>
    <row r="4">
      <c r="A4" s="95"/>
      <c r="B4" s="95"/>
      <c r="C4" s="95"/>
      <c r="D4" s="95"/>
      <c r="E4" s="95"/>
      <c r="F4" s="95"/>
      <c r="G4" s="95"/>
      <c r="H4" s="95"/>
      <c r="I4" s="95"/>
    </row>
    <row r="5">
      <c r="A5" s="97" t="s">
        <v>8</v>
      </c>
      <c r="B5" s="97" t="s">
        <v>253</v>
      </c>
      <c r="C5" s="97" t="s">
        <v>254</v>
      </c>
      <c r="D5" s="97" t="s">
        <v>255</v>
      </c>
      <c r="E5" s="97" t="s">
        <v>256</v>
      </c>
      <c r="F5" s="97" t="s">
        <v>257</v>
      </c>
      <c r="G5" s="97" t="s">
        <v>118</v>
      </c>
      <c r="H5" s="97" t="s">
        <v>119</v>
      </c>
      <c r="I5" s="95"/>
    </row>
    <row r="6">
      <c r="A6" s="94" t="s">
        <v>40</v>
      </c>
      <c r="B6" s="98">
        <v>64127.0</v>
      </c>
      <c r="C6" s="98">
        <v>64012.0</v>
      </c>
      <c r="D6" s="98">
        <f>SUMIFS($E$11:$E1000,$A$11:$A1000,$A6,$B$11:$B1000,"Deposit in Transit")</f>
        <v>850</v>
      </c>
      <c r="E6" s="98">
        <f>SUMIFS($E$11:$E1000,$A$11:$A1000,$A6,$B$11:$B1000,"Outstanding Payment")</f>
        <v>735</v>
      </c>
      <c r="F6" s="99">
        <f t="shared" ref="F6:F7" si="1">C6+D6-E6</f>
        <v>64127</v>
      </c>
      <c r="G6" s="99">
        <f t="shared" ref="G6:G7" si="2">B6-F6</f>
        <v>0</v>
      </c>
      <c r="H6" s="95" t="str">
        <f t="shared" ref="H6:H7" si="3">IF(ABS(G6)&lt;0.01,"RECONCILED","REVIEW")</f>
        <v>RECONCILED</v>
      </c>
      <c r="I6" s="95"/>
    </row>
    <row r="7">
      <c r="A7" s="94" t="s">
        <v>259</v>
      </c>
      <c r="B7" s="98">
        <v>7165.0</v>
      </c>
      <c r="C7" s="98">
        <v>7095.0</v>
      </c>
      <c r="D7" s="98">
        <v>120.0</v>
      </c>
      <c r="E7" s="98">
        <v>50.0</v>
      </c>
      <c r="F7" s="99">
        <f t="shared" si="1"/>
        <v>7165</v>
      </c>
      <c r="G7" s="99">
        <f t="shared" si="2"/>
        <v>0</v>
      </c>
      <c r="H7" s="95" t="str">
        <f t="shared" si="3"/>
        <v>RECONCILED</v>
      </c>
      <c r="I7" s="95"/>
    </row>
    <row r="8">
      <c r="A8" s="95"/>
      <c r="B8" s="95"/>
      <c r="C8" s="95"/>
      <c r="D8" s="95"/>
      <c r="E8" s="95"/>
      <c r="F8" s="95"/>
      <c r="G8" s="95"/>
      <c r="H8" s="95"/>
      <c r="I8" s="95"/>
    </row>
    <row r="9">
      <c r="A9" s="100" t="s">
        <v>261</v>
      </c>
      <c r="B9" s="95"/>
      <c r="C9" s="95"/>
      <c r="D9" s="95"/>
      <c r="E9" s="95"/>
      <c r="F9" s="95"/>
      <c r="G9" s="95"/>
      <c r="H9" s="95"/>
      <c r="I9" s="95"/>
    </row>
    <row r="10">
      <c r="A10" s="97" t="s">
        <v>8</v>
      </c>
      <c r="B10" s="97" t="s">
        <v>9</v>
      </c>
      <c r="C10" s="97" t="s">
        <v>262</v>
      </c>
      <c r="D10" s="97" t="s">
        <v>5</v>
      </c>
      <c r="E10" s="97" t="s">
        <v>263</v>
      </c>
      <c r="F10" s="95"/>
      <c r="G10" s="95"/>
      <c r="H10" s="95"/>
      <c r="I10" s="95"/>
    </row>
    <row r="11">
      <c r="A11" s="94" t="s">
        <v>40</v>
      </c>
      <c r="B11" s="94" t="s">
        <v>264</v>
      </c>
      <c r="C11" s="94" t="s">
        <v>265</v>
      </c>
      <c r="D11" s="96">
        <v>46387.0</v>
      </c>
      <c r="E11" s="101">
        <v>500.0</v>
      </c>
      <c r="F11" s="95"/>
      <c r="G11" s="95"/>
      <c r="H11" s="95"/>
      <c r="I11" s="95"/>
    </row>
    <row r="12">
      <c r="A12" s="94" t="s">
        <v>40</v>
      </c>
      <c r="B12" s="94" t="s">
        <v>264</v>
      </c>
      <c r="C12" s="94" t="s">
        <v>266</v>
      </c>
      <c r="D12" s="96">
        <v>46387.0</v>
      </c>
      <c r="E12" s="101">
        <v>350.0</v>
      </c>
      <c r="F12" s="95"/>
      <c r="G12" s="95"/>
      <c r="H12" s="95"/>
      <c r="I12" s="95"/>
    </row>
    <row r="13">
      <c r="A13" s="94" t="s">
        <v>40</v>
      </c>
      <c r="B13" s="94" t="s">
        <v>267</v>
      </c>
      <c r="C13" s="94" t="s">
        <v>125</v>
      </c>
      <c r="D13" s="96">
        <v>46385.0</v>
      </c>
      <c r="E13" s="101">
        <v>420.0</v>
      </c>
      <c r="F13" s="95"/>
      <c r="G13" s="95"/>
      <c r="H13" s="95"/>
      <c r="I13" s="95"/>
    </row>
    <row r="14">
      <c r="A14" s="94" t="s">
        <v>40</v>
      </c>
      <c r="B14" s="94" t="s">
        <v>267</v>
      </c>
      <c r="C14" s="94" t="s">
        <v>268</v>
      </c>
      <c r="D14" s="96">
        <v>46386.0</v>
      </c>
      <c r="E14" s="101">
        <v>315.0</v>
      </c>
      <c r="F14" s="95"/>
      <c r="G14" s="95"/>
      <c r="H14" s="95"/>
      <c r="I14" s="95"/>
    </row>
    <row r="15">
      <c r="A15" s="94" t="s">
        <v>60</v>
      </c>
      <c r="B15" s="94" t="s">
        <v>264</v>
      </c>
      <c r="C15" s="94" t="s">
        <v>59</v>
      </c>
      <c r="D15" s="96">
        <v>46387.0</v>
      </c>
      <c r="E15" s="101">
        <v>120.0</v>
      </c>
      <c r="F15" s="95"/>
      <c r="G15" s="95"/>
      <c r="H15" s="95"/>
      <c r="I15" s="95"/>
    </row>
    <row r="16">
      <c r="A16" s="94" t="s">
        <v>60</v>
      </c>
      <c r="B16" s="94" t="s">
        <v>267</v>
      </c>
      <c r="C16" s="94" t="s">
        <v>269</v>
      </c>
      <c r="D16" s="96">
        <v>46386.0</v>
      </c>
      <c r="E16" s="101">
        <v>50.0</v>
      </c>
      <c r="F16" s="95"/>
      <c r="G16" s="95"/>
      <c r="H16" s="95"/>
      <c r="I16" s="95"/>
    </row>
    <row r="17">
      <c r="A17" s="95"/>
      <c r="B17" s="95"/>
      <c r="C17" s="95"/>
      <c r="D17" s="95"/>
      <c r="E17" s="95"/>
      <c r="F17" s="95"/>
      <c r="G17" s="95"/>
      <c r="H17" s="95"/>
      <c r="I17" s="95"/>
    </row>
    <row r="18">
      <c r="A18" s="95"/>
      <c r="B18" s="95"/>
      <c r="C18" s="95"/>
      <c r="D18" s="95"/>
      <c r="E18" s="95"/>
      <c r="F18" s="95"/>
      <c r="G18" s="95"/>
      <c r="H18" s="95"/>
      <c r="I18" s="95"/>
    </row>
    <row r="19">
      <c r="A19" s="95"/>
      <c r="B19" s="95"/>
      <c r="C19" s="95"/>
      <c r="D19" s="95"/>
      <c r="E19" s="95"/>
      <c r="F19" s="95"/>
      <c r="G19" s="95"/>
      <c r="H19" s="95"/>
      <c r="I19" s="95"/>
    </row>
    <row r="20">
      <c r="A20" s="95"/>
      <c r="B20" s="95"/>
      <c r="C20" s="95"/>
      <c r="D20" s="95"/>
      <c r="E20" s="95"/>
      <c r="F20" s="95"/>
      <c r="G20" s="95"/>
      <c r="H20" s="95"/>
      <c r="I20" s="95"/>
    </row>
  </sheetData>
  <conditionalFormatting sqref="H6:H7">
    <cfRule type="cellIs" dxfId="18" priority="1" operator="equal">
      <formula>"RECONCILED"</formula>
    </cfRule>
  </conditionalFormatting>
  <drawing r:id="rId1"/>
</worksheet>
</file>